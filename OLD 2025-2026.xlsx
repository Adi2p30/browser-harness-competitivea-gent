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purdue0.sharepoint.com/sites/KrannertMarketingandCommunication/Shared Documents/Marketing Analytics/Competitive Analysis/"/>
    </mc:Choice>
  </mc:AlternateContent>
  <xr:revisionPtr revIDLastSave="0" documentId="8_{1473FDEB-55E5-4F73-B035-679F16E9C8DB}" xr6:coauthVersionLast="47" xr6:coauthVersionMax="47" xr10:uidLastSave="{00000000-0000-0000-0000-000000000000}"/>
  <bookViews>
    <workbookView xWindow="0" yWindow="0" windowWidth="28800" windowHeight="18000" firstSheet="9" activeTab="9" xr2:uid="{70F8FB96-7E24-4BB2-B7F0-F91F28784247}"/>
  </bookViews>
  <sheets>
    <sheet name="Information to look for" sheetId="1" state="hidden" r:id="rId1"/>
    <sheet name="Online MS Programs" sheetId="2" state="hidden" r:id="rId2"/>
    <sheet name="Sheet1" sheetId="17" state="hidden" r:id="rId3"/>
    <sheet name="Residential MS Programs" sheetId="3" state="hidden" r:id="rId4"/>
    <sheet name="Online MS Business Analytics" sheetId="15" r:id="rId5"/>
    <sheet name="Online MS Economics" sheetId="14" r:id="rId6"/>
    <sheet name="Online MSGSCM" sheetId="16" r:id="rId7"/>
    <sheet name="Online MS HRM" sheetId="13" r:id="rId8"/>
    <sheet name="Online MBA" sheetId="19" r:id="rId9"/>
    <sheet name="MS Accounting - Residential" sheetId="4" r:id="rId10"/>
    <sheet name="MS BAIM - Residential" sheetId="5" r:id="rId11"/>
    <sheet name="MS Finance - Residential" sheetId="6" r:id="rId12"/>
    <sheet name="MS HRM - Residential" sheetId="8" r:id="rId13"/>
    <sheet name="MS GSCM - Residential" sheetId="7" r:id="rId14"/>
    <sheet name="MS Marketing - Residential" sheetId="12" r:id="rId15"/>
    <sheet name="Master of Business &amp; Technology" sheetId="10" r:id="rId16"/>
    <sheet name="1yr MBA" sheetId="18"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2" i="8" l="1"/>
  <c r="AU2" i="4"/>
  <c r="BH2" i="4"/>
  <c r="BI2" i="8"/>
  <c r="BD2" i="12"/>
  <c r="BA2" i="12"/>
  <c r="BC3" i="12"/>
  <c r="BC9" i="12"/>
  <c r="BC2" i="12"/>
  <c r="BB3" i="12"/>
  <c r="BB9" i="12"/>
  <c r="BB2" i="12"/>
  <c r="BC3" i="18"/>
  <c r="BC4" i="18"/>
  <c r="BC5" i="18"/>
  <c r="BC8" i="18"/>
  <c r="BC9" i="18"/>
  <c r="BC11" i="18"/>
  <c r="BC12" i="18"/>
  <c r="BC2" i="18"/>
  <c r="BB2" i="18"/>
  <c r="BB3" i="18"/>
  <c r="BB4" i="18"/>
  <c r="BB5" i="18"/>
  <c r="BB8" i="18"/>
  <c r="BB9" i="18"/>
  <c r="BB11" i="18"/>
  <c r="BB12" i="18"/>
  <c r="BA2" i="18"/>
  <c r="BA3" i="18"/>
  <c r="BA4" i="18"/>
  <c r="BA5" i="18"/>
  <c r="BA8" i="18"/>
  <c r="BA9" i="18"/>
  <c r="BA11" i="18"/>
  <c r="BA12" i="18"/>
  <c r="BA3" i="12"/>
  <c r="BA9" i="12"/>
  <c r="AG13" i="12"/>
  <c r="BJ8" i="7"/>
  <c r="BI8" i="7"/>
  <c r="BH8" i="7"/>
  <c r="BJ7" i="7"/>
  <c r="BI7" i="7"/>
  <c r="BH7" i="7"/>
  <c r="BJ6" i="7"/>
  <c r="BI6" i="7"/>
  <c r="BH6" i="7"/>
  <c r="BJ5" i="7"/>
  <c r="BI5" i="7"/>
  <c r="BH5" i="7"/>
  <c r="BJ4" i="7"/>
  <c r="BI4" i="7"/>
  <c r="BH4" i="7"/>
  <c r="BJ3" i="7"/>
  <c r="BI3" i="7"/>
  <c r="BH3" i="7"/>
  <c r="BJ2" i="7"/>
  <c r="BI2" i="7"/>
  <c r="BH2" i="7"/>
  <c r="BJ8" i="8"/>
  <c r="BI8" i="8"/>
  <c r="BH8" i="8"/>
  <c r="BJ7" i="8"/>
  <c r="BI7" i="8"/>
  <c r="BH7" i="8"/>
  <c r="BJ6" i="8"/>
  <c r="BI6" i="8"/>
  <c r="BH6" i="8"/>
  <c r="BJ5" i="8"/>
  <c r="BI5" i="8"/>
  <c r="BH5" i="8"/>
  <c r="BJ4" i="8"/>
  <c r="BI4" i="8"/>
  <c r="BH4" i="8"/>
  <c r="BJ3" i="8"/>
  <c r="BI3" i="8"/>
  <c r="BH3" i="8"/>
  <c r="BJ2" i="8"/>
  <c r="BJ3" i="5"/>
  <c r="BJ4" i="5"/>
  <c r="BJ5" i="5"/>
  <c r="BJ7" i="5"/>
  <c r="BJ8" i="5"/>
  <c r="BJ9" i="5"/>
  <c r="BJ2" i="5"/>
  <c r="BI3" i="5"/>
  <c r="BI4" i="5"/>
  <c r="BI5" i="5"/>
  <c r="BI7" i="5"/>
  <c r="BI8" i="5"/>
  <c r="BI9" i="5"/>
  <c r="BI2" i="5"/>
  <c r="BH2" i="5"/>
  <c r="BH3" i="5"/>
  <c r="BH4" i="5"/>
  <c r="BH5" i="5"/>
  <c r="BH7" i="5"/>
  <c r="BH8" i="5"/>
  <c r="BH9" i="5"/>
  <c r="BI7" i="4"/>
  <c r="BJ7" i="4"/>
  <c r="BH7" i="4"/>
  <c r="BI6" i="4"/>
  <c r="BJ6" i="4"/>
  <c r="BH6" i="4"/>
  <c r="BI5" i="4"/>
  <c r="BJ5" i="4"/>
  <c r="BH5" i="4"/>
  <c r="BI4" i="4"/>
  <c r="BJ4" i="4"/>
  <c r="BH4" i="4"/>
  <c r="BI3" i="4"/>
  <c r="BJ3" i="4"/>
  <c r="BH3" i="4"/>
  <c r="BJ2" i="4"/>
  <c r="BI2" i="4"/>
  <c r="AQ19" i="19"/>
  <c r="AR19" i="19"/>
  <c r="AP19" i="19"/>
  <c r="AP18" i="19"/>
  <c r="AR18" i="19"/>
  <c r="AQ18" i="19"/>
  <c r="AR14" i="19"/>
  <c r="AQ14" i="19"/>
  <c r="AP14" i="19"/>
  <c r="AR13" i="19"/>
  <c r="AQ13" i="19"/>
  <c r="AP13" i="19"/>
  <c r="AR12" i="19"/>
  <c r="AQ12" i="19"/>
  <c r="AP12" i="19"/>
  <c r="AR11" i="19"/>
  <c r="AQ11" i="19"/>
  <c r="AP11" i="19"/>
  <c r="AR9" i="19"/>
  <c r="AQ9" i="19"/>
  <c r="AP9" i="19"/>
  <c r="AR7" i="19"/>
  <c r="AQ7" i="19"/>
  <c r="AP7" i="19"/>
  <c r="AQ2" i="19"/>
  <c r="AR2" i="19"/>
  <c r="AP2" i="19"/>
  <c r="AM12" i="13"/>
  <c r="AL12" i="13"/>
  <c r="AK12" i="13"/>
  <c r="AM9" i="13"/>
  <c r="AL9" i="13"/>
  <c r="AK9" i="13"/>
  <c r="AM7" i="13"/>
  <c r="AL7" i="13"/>
  <c r="AK7" i="13"/>
  <c r="AL5" i="13"/>
  <c r="AM5" i="13"/>
  <c r="AK5" i="13"/>
  <c r="AM13" i="16"/>
  <c r="AL13" i="16"/>
  <c r="AL10" i="16"/>
  <c r="AM10" i="16"/>
  <c r="AL11" i="16"/>
  <c r="AM11" i="16"/>
  <c r="AK13" i="16"/>
  <c r="AK11" i="16"/>
  <c r="AK10" i="16"/>
  <c r="AL5" i="16"/>
  <c r="AM5" i="16"/>
  <c r="AL6" i="16"/>
  <c r="AM6" i="16"/>
  <c r="AK6" i="16"/>
  <c r="AK5" i="16"/>
  <c r="AJ5" i="15"/>
  <c r="AK5" i="15"/>
  <c r="AJ7" i="15"/>
  <c r="AK7" i="15"/>
  <c r="AJ8" i="15"/>
  <c r="AK8" i="15"/>
  <c r="AJ14" i="15"/>
  <c r="AK14" i="15"/>
  <c r="AJ3" i="15"/>
  <c r="AK3" i="15"/>
  <c r="AI3" i="15"/>
  <c r="AK9" i="14"/>
  <c r="AM9" i="14"/>
  <c r="AL9" i="14"/>
  <c r="AL10" i="14"/>
  <c r="AM10" i="14"/>
  <c r="AL2" i="14"/>
  <c r="AM2" i="14"/>
  <c r="AL3" i="14"/>
  <c r="AM3" i="14"/>
  <c r="AK2" i="14"/>
  <c r="AK3" i="14"/>
  <c r="AI5" i="15"/>
  <c r="AI7" i="15"/>
  <c r="AI8" i="15"/>
  <c r="AI14" i="15"/>
  <c r="AM3" i="18"/>
  <c r="AN3" i="18"/>
  <c r="AO3" i="18"/>
  <c r="AM4" i="18"/>
  <c r="AN4" i="18"/>
  <c r="AO4" i="18"/>
  <c r="AM5" i="18"/>
  <c r="AN5" i="18"/>
  <c r="AO5" i="18"/>
  <c r="AM8" i="18"/>
  <c r="AN8" i="18"/>
  <c r="AO8" i="18"/>
  <c r="AM9" i="18"/>
  <c r="AN9" i="18"/>
  <c r="AO9" i="18"/>
  <c r="AM10" i="18"/>
  <c r="AN10" i="18"/>
  <c r="AO10" i="18"/>
  <c r="AM11" i="18"/>
  <c r="AN11" i="18"/>
  <c r="AO11" i="18"/>
  <c r="AM12" i="18"/>
  <c r="AN12" i="18"/>
  <c r="AO12" i="18"/>
  <c r="AO2" i="18"/>
  <c r="AN2" i="18"/>
  <c r="AM2" i="18"/>
  <c r="AM3" i="12"/>
  <c r="AN3" i="12"/>
  <c r="AO3" i="12"/>
  <c r="AM9" i="12"/>
  <c r="AN9" i="12"/>
  <c r="AO9" i="12"/>
  <c r="AO2" i="12"/>
  <c r="AN2" i="12"/>
  <c r="AM2" i="12"/>
  <c r="AT7" i="4"/>
  <c r="AU7" i="4"/>
  <c r="AV7" i="4"/>
  <c r="AT2" i="4"/>
  <c r="AI6" i="18"/>
  <c r="AI3" i="18"/>
  <c r="AH6" i="18"/>
  <c r="AO7" i="10"/>
  <c r="AN7" i="10"/>
  <c r="AM7" i="10"/>
  <c r="AN2" i="10"/>
  <c r="AO2" i="10"/>
  <c r="AM2" i="10"/>
  <c r="AT4" i="7"/>
  <c r="AU4" i="7"/>
  <c r="AV4" i="7"/>
  <c r="AT8" i="7"/>
  <c r="AU8" i="7"/>
  <c r="AV8" i="7"/>
  <c r="AT2" i="7"/>
  <c r="AV2" i="7"/>
  <c r="AU2" i="7"/>
  <c r="AT7" i="8"/>
  <c r="AU7" i="8"/>
  <c r="AV7" i="8"/>
  <c r="AU6" i="8"/>
  <c r="AV6" i="8"/>
  <c r="AT6" i="8"/>
  <c r="AT5" i="8"/>
  <c r="AU5" i="8"/>
  <c r="AV5" i="8"/>
  <c r="AT4" i="8"/>
  <c r="AU4" i="8"/>
  <c r="AV4" i="8"/>
  <c r="AV3" i="8"/>
  <c r="AT3" i="8"/>
  <c r="AU3" i="8"/>
  <c r="AV2" i="8"/>
  <c r="AU2" i="8"/>
  <c r="AT2" i="8"/>
  <c r="AV9" i="5"/>
  <c r="AU9" i="5"/>
  <c r="AT9" i="5"/>
  <c r="AV8" i="5"/>
  <c r="AU8" i="5"/>
  <c r="AT8" i="5"/>
  <c r="AT3" i="5"/>
  <c r="AU3" i="5"/>
  <c r="AV3" i="5"/>
  <c r="AT4" i="5"/>
  <c r="AU4" i="5"/>
  <c r="AV4" i="5"/>
  <c r="AT5" i="5"/>
  <c r="AU5" i="5"/>
  <c r="AV5" i="5"/>
  <c r="AU2" i="5"/>
  <c r="AV2" i="5"/>
  <c r="AT2" i="5"/>
  <c r="AT3" i="4"/>
  <c r="AU3" i="4"/>
  <c r="AV3" i="4"/>
  <c r="AT4" i="4"/>
  <c r="AU4" i="4"/>
  <c r="AV4" i="4"/>
  <c r="AT5" i="4"/>
  <c r="AU5" i="4"/>
  <c r="AV5" i="4"/>
  <c r="AT6" i="4"/>
  <c r="AU6" i="4"/>
  <c r="AV6" i="4"/>
  <c r="AV2" i="4"/>
  <c r="AK10" i="14"/>
  <c r="AH3" i="18"/>
  <c r="AG3" i="18"/>
  <c r="AI8" i="18"/>
  <c r="AH8" i="18"/>
  <c r="AG8" i="18"/>
  <c r="AG8" i="19"/>
  <c r="AP8" i="19" s="1"/>
  <c r="AH8" i="19"/>
  <c r="AQ8" i="19" s="1"/>
  <c r="AI8" i="19"/>
  <c r="AR8" i="19" s="1"/>
  <c r="AG5" i="19"/>
  <c r="AP5" i="19" s="1"/>
  <c r="AH5" i="19"/>
  <c r="AQ5" i="19" s="1"/>
  <c r="AI5" i="19"/>
  <c r="AR5" i="19" s="1"/>
  <c r="AI4" i="19"/>
  <c r="AR4" i="19" s="1"/>
  <c r="AH4" i="19"/>
  <c r="AQ4" i="19" s="1"/>
  <c r="AG4" i="19"/>
  <c r="AP4" i="19" s="1"/>
  <c r="AG10" i="12"/>
  <c r="AH10" i="12"/>
  <c r="AI10" i="12"/>
  <c r="AG9" i="12"/>
  <c r="AH9" i="12"/>
  <c r="AI9" i="12"/>
  <c r="AG2" i="12"/>
  <c r="AH2" i="12"/>
  <c r="AI2" i="12"/>
  <c r="AG3" i="12"/>
  <c r="AH3" i="12"/>
  <c r="AI3" i="12"/>
  <c r="AI4" i="12"/>
  <c r="AH4" i="12"/>
  <c r="AG4" i="12"/>
  <c r="P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tc={D7B0B377-3F72-46E8-A439-2F7D1AF63399}</author>
  </authors>
  <commentList>
    <comment ref="A9" authorId="0" shapeId="0" xr:uid="{D7B0B377-3F72-46E8-A439-2F7D1AF63399}">
      <text>
        <t>[Threaded comment]
Your version of Excel allows you to read this threaded comment; however, any edits to it will get removed if the file is opened in a newer version of Excel. Learn more: https://go.microsoft.com/fwlink/?linkid=870924
Comment:
    All info collected from collegefactual website. No SNHU MS Econ page found directly from website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tc={069E27AB-135F-4B85-9349-4F19483E4EBA}</author>
  </authors>
  <commentList>
    <comment ref="AP1" authorId="0" shapeId="0" xr:uid="{069E27AB-135F-4B85-9349-4F19483E4EBA}">
      <text>
        <t>[Threaded comment]
Your version of Excel allows you to read this threaded comment; however, any edits to it will get removed if the file is opened in a newer version of Excel. Learn more: https://go.microsoft.com/fwlink/?linkid=870924
Comment:
    No HRM QS rankings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tc={C9805207-E2FC-4E6C-87AB-FA6ACE116268}</author>
  </authors>
  <commentList>
    <comment ref="AT1" authorId="0" shapeId="0" xr:uid="{C9805207-E2FC-4E6C-87AB-FA6ACE116268}">
      <text>
        <t>[Threaded comment]
Your version of Excel allows you to read this threaded comment; however, any edits to it will get removed if the file is opened in a newer version of Excel. Learn more: https://go.microsoft.com/fwlink/?linkid=870924
Comment:
    No Online MBA Best-Masters rankings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tc={2BDE28E3-8632-4EAC-A554-F49D2E204DD7}</author>
    <author>tc={B7761613-1EC9-43B2-83A6-326F57F1310B}</author>
  </authors>
  <commentList>
    <comment ref="AZ1" authorId="0" shapeId="0" xr:uid="{2BDE28E3-8632-4EAC-A554-F49D2E204DD7}">
      <text>
        <t>[Threaded comment]
Your version of Excel allows you to read this threaded comment; however, any edits to it will get removed if the file is opened in a newer version of Excel. Learn more: https://go.microsoft.com/fwlink/?linkid=870924
Comment:
    from Payscale, higher/lower indicates relationship to national average</t>
      </text>
    </comment>
    <comment ref="BB1" authorId="1" shapeId="0" xr:uid="{B7761613-1EC9-43B2-83A6-326F57F1310B}">
      <text>
        <t>[Threaded comment]
Your version of Excel allows you to read this threaded comment; however, any edits to it will get removed if the file is opened in a newer version of Excel. Learn more: https://go.microsoft.com/fwlink/?linkid=870924
Comment:
    No USNews HRM rankings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tc={CA8149C6-A64B-4985-AEBC-C543B2F3A115}</author>
  </authors>
  <commentList>
    <comment ref="AZ1" authorId="0" shapeId="0" xr:uid="{CA8149C6-A64B-4985-AEBC-C543B2F3A115}">
      <text>
        <t>[Threaded comment]
Your version of Excel allows you to read this threaded comment; however, any edits to it will get removed if the file is opened in a newer version of Excel. Learn more: https://go.microsoft.com/fwlink/?linkid=870924
Comment:
    higher or lower % than national avg's. found using payscale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tc={6A0F4FB5-8B5E-4D0E-ACF2-8FDC2C1512FE}</author>
    <author>tc={8FA5F996-2691-4C50-BF0D-58239FCAA524}</author>
    <author>tc={B6B41EC1-4995-4FC6-95FC-D6372B7F52C0}</author>
    <author>tc={262CA6A3-BE8C-48AF-9B6D-5A5CFB94A91F}</author>
    <author>tc={67D890C3-1841-4B49-9BF9-63F53765BA8C}</author>
  </authors>
  <commentList>
    <comment ref="AS1" authorId="0" shapeId="0" xr:uid="{6A0F4FB5-8B5E-4D0E-ACF2-8FDC2C1512FE}">
      <text>
        <t>[Threaded comment]
Your version of Excel allows you to read this threaded comment; however, any edits to it will get removed if the file is opened in a newer version of Excel. Learn more: https://go.microsoft.com/fwlink/?linkid=870924
Comment:
    % up or down from national avg</t>
      </text>
    </comment>
    <comment ref="AU1" authorId="1" shapeId="0" xr:uid="{8FA5F996-2691-4C50-BF0D-58239FCAA524}">
      <text>
        <t>[Threaded comment]
Your version of Excel allows you to read this threaded comment; however, any edits to it will get removed if the file is opened in a newer version of Excel. Learn more: https://go.microsoft.com/fwlink/?linkid=870924
Comment:
    No USNews MBT rankings</t>
      </text>
    </comment>
    <comment ref="AV1" authorId="2" shapeId="0" xr:uid="{B6B41EC1-4995-4FC6-95FC-D6372B7F52C0}">
      <text>
        <t>[Threaded comment]
Your version of Excel allows you to read this threaded comment; however, any edits to it will get removed if the file is opened in a newer version of Excel. Learn more: https://go.microsoft.com/fwlink/?linkid=870924
Comment:
    No Best Masters MBT rankings</t>
      </text>
    </comment>
    <comment ref="AY7" authorId="3" shapeId="0" xr:uid="{262CA6A3-BE8C-48AF-9B6D-5A5CFB94A91F}">
      <text>
        <t>[Threaded comment]
Your version of Excel allows you to read this threaded comment; however, any edits to it will get removed if the file is opened in a newer version of Excel. Learn more: https://go.microsoft.com/fwlink/?linkid=870924
Comment:
    Median</t>
      </text>
    </comment>
    <comment ref="AZ7" authorId="4" shapeId="0" xr:uid="{67D890C3-1841-4B49-9BF9-63F53765BA8C}">
      <text>
        <t>[Threaded comment]
Your version of Excel allows you to read this threaded comment; however, any edits to it will get removed if the file is opened in a newer version of Excel. Learn more: https://go.microsoft.com/fwlink/?linkid=870924
Comment:
    Median</t>
      </text>
    </comment>
  </commentList>
</comments>
</file>

<file path=xl/sharedStrings.xml><?xml version="1.0" encoding="utf-8"?>
<sst xmlns="http://schemas.openxmlformats.org/spreadsheetml/2006/main" count="6126" uniqueCount="1912">
  <si>
    <t>Online</t>
  </si>
  <si>
    <t>Residential</t>
  </si>
  <si>
    <t>Marketing Team</t>
  </si>
  <si>
    <t>Program Managers</t>
  </si>
  <si>
    <t>University Name</t>
  </si>
  <si>
    <t>School</t>
  </si>
  <si>
    <t>School / College Name</t>
  </si>
  <si>
    <t>Program Name</t>
  </si>
  <si>
    <t>Name</t>
  </si>
  <si>
    <t>University Location</t>
  </si>
  <si>
    <t>Location</t>
  </si>
  <si>
    <t>Website Link</t>
  </si>
  <si>
    <t>Average GMAT/GRE</t>
  </si>
  <si>
    <t>GMAT</t>
  </si>
  <si>
    <t>Average Undergraduate GPA</t>
  </si>
  <si>
    <t>UG GPA</t>
  </si>
  <si>
    <t>GPA</t>
  </si>
  <si>
    <t>Work Experience (months)</t>
  </si>
  <si>
    <t>Avg Experience in months</t>
  </si>
  <si>
    <t>Work Experience in Months</t>
  </si>
  <si>
    <t>Average Student Age</t>
  </si>
  <si>
    <t>Class Size</t>
  </si>
  <si>
    <t>Enrollment</t>
  </si>
  <si>
    <t>Accept Rate</t>
  </si>
  <si>
    <t>International (%)</t>
  </si>
  <si>
    <t>International %</t>
  </si>
  <si>
    <t>Female (%)</t>
  </si>
  <si>
    <t>Female %</t>
  </si>
  <si>
    <t>STEM Designation</t>
  </si>
  <si>
    <t>Time Commitment (months)</t>
  </si>
  <si>
    <t>Duration (months)</t>
  </si>
  <si>
    <t>Start of Program (Program Start Months)</t>
  </si>
  <si>
    <t>Modality</t>
  </si>
  <si>
    <t>On-Campus Options</t>
  </si>
  <si>
    <t>Time Commitment in Months</t>
  </si>
  <si>
    <t>Delivery Model</t>
  </si>
  <si>
    <t>Deadline Date(s)</t>
  </si>
  <si>
    <r>
      <t xml:space="preserve">Deadline Date(s) - </t>
    </r>
    <r>
      <rPr>
        <sz val="11"/>
        <color rgb="FF4472C4"/>
        <rFont val="Calibri"/>
        <family val="2"/>
        <scheme val="minor"/>
      </rPr>
      <t>Start dates instead</t>
    </r>
  </si>
  <si>
    <t>Credit Hours</t>
  </si>
  <si>
    <t>Credits</t>
  </si>
  <si>
    <t>Program specializations/tracks</t>
  </si>
  <si>
    <t>Tuition In-State</t>
  </si>
  <si>
    <t>In-State Cost per Credit Hour</t>
  </si>
  <si>
    <t>Curricular Design</t>
  </si>
  <si>
    <t>Offer ability to diversify program? Internships? Co-op? Or straight-forward just academic?</t>
  </si>
  <si>
    <t>In-State Total Tuition</t>
  </si>
  <si>
    <t>Co-Curricular Activities</t>
  </si>
  <si>
    <t>Case Competitions? Offer study abroad? What do they offer to enhance academic side of programs? Clubs? ELI? - We can just link it out instead of decribing the detail.</t>
  </si>
  <si>
    <t>Tuition Out-of-State</t>
  </si>
  <si>
    <t>Out of State Cost per Credit Hour</t>
  </si>
  <si>
    <t>Study Abroad - City Treks</t>
  </si>
  <si>
    <t>Out of State Total Tuition</t>
  </si>
  <si>
    <t>ELI</t>
  </si>
  <si>
    <t>Tuition International</t>
  </si>
  <si>
    <t>In-State Tuition (Per Credit)</t>
  </si>
  <si>
    <t>Scholarship</t>
  </si>
  <si>
    <t>Out-of-state Tuition  (Per Credit)</t>
  </si>
  <si>
    <t>Deposit</t>
  </si>
  <si>
    <t>International Tuition (Per Credit)</t>
  </si>
  <si>
    <t>Ranking (Eduniversal)</t>
  </si>
  <si>
    <t>Distinctions</t>
  </si>
  <si>
    <t>Total Tuition</t>
  </si>
  <si>
    <t>Ranking (U.S. News)</t>
  </si>
  <si>
    <t>ROI (Month) = Time to reach the breakeven point?</t>
  </si>
  <si>
    <t>Ranking (Best-Masters.com)</t>
  </si>
  <si>
    <t>Scholarship Offers</t>
  </si>
  <si>
    <t xml:space="preserve">Usually provided on website, but sometimes hard to find. </t>
  </si>
  <si>
    <t>Ranking (Topuniversities.com)</t>
  </si>
  <si>
    <t>Student Experience - Paid Conference Attendance</t>
  </si>
  <si>
    <t>Average Post-Grad Salary</t>
  </si>
  <si>
    <t>Student Experience - Paid Industry/Organization Certificate</t>
  </si>
  <si>
    <t>Average Post-Grad Bonus</t>
  </si>
  <si>
    <t xml:space="preserve">Student Experience - Experiential Learning Courses/Opportunities </t>
  </si>
  <si>
    <t>Projects</t>
  </si>
  <si>
    <t>Cost of Living (%)</t>
  </si>
  <si>
    <t>Affinity Groups</t>
  </si>
  <si>
    <t>Cost of Living ($)</t>
  </si>
  <si>
    <t>Additional Notes</t>
  </si>
  <si>
    <t>Rank (Which ranking publication?)</t>
  </si>
  <si>
    <t>QS Rankings</t>
  </si>
  <si>
    <t>Placement %</t>
  </si>
  <si>
    <t>Career Services - Outcomes/PD</t>
  </si>
  <si>
    <t>Location - City</t>
  </si>
  <si>
    <t>Location - State</t>
  </si>
  <si>
    <t>Average GMAT</t>
  </si>
  <si>
    <t>Average GRE</t>
  </si>
  <si>
    <t>Work Experience (Month)</t>
  </si>
  <si>
    <t>Experiential Learning Courses / Opportunities (Yes/No)</t>
  </si>
  <si>
    <t>Experiential Learning Courses / Opportunities Link</t>
  </si>
  <si>
    <t>Experiential Learning Courses / Opportunities (brief description)</t>
  </si>
  <si>
    <t>Affinity Groups (Yes/No)</t>
  </si>
  <si>
    <t>Affinity Groups Link</t>
  </si>
  <si>
    <t>Affinity Groups (brief description)</t>
  </si>
  <si>
    <t>Accept 3yr-degree from India? (Y/N)</t>
  </si>
  <si>
    <t>In-State Tuition Per Credit</t>
  </si>
  <si>
    <t>Out-of-State Tuition Per Credit</t>
  </si>
  <si>
    <t>International Tuition Per Credit</t>
  </si>
  <si>
    <t>In-State Tuition Total</t>
  </si>
  <si>
    <t>Out-of-State Tuition Total</t>
  </si>
  <si>
    <t>International Tuition Total</t>
  </si>
  <si>
    <t>ROI - Breakeven Point in Months</t>
  </si>
  <si>
    <t>Ranking (QS)</t>
  </si>
  <si>
    <t>Job Placement %</t>
  </si>
  <si>
    <t>Name of the MBA Degree</t>
  </si>
  <si>
    <t>Duration (months) of program</t>
  </si>
  <si>
    <t>Credits (total)</t>
  </si>
  <si>
    <t>GMAT/GRE requirement</t>
  </si>
  <si>
    <t>Enrollment (Total)</t>
  </si>
  <si>
    <t>Avg UG GPA</t>
  </si>
  <si>
    <t>Avg Exp</t>
  </si>
  <si>
    <t>Deposit requirement</t>
  </si>
  <si>
    <t>Scholarship offered</t>
  </si>
  <si>
    <t>Projects completed within the program</t>
  </si>
  <si>
    <t>Affinity Groups- are they offered to online students?</t>
  </si>
  <si>
    <t>Delivery Model- 100% Online? Hybrid? Led by FT faculty or PT Adjuncts?</t>
  </si>
  <si>
    <t>On-Campus Options- are they offered to online students?</t>
  </si>
  <si>
    <t>Prominent Rankings</t>
  </si>
  <si>
    <t>School/College Name</t>
  </si>
  <si>
    <t>Program Start Month</t>
  </si>
  <si>
    <t>Program Specializations/Tracks</t>
  </si>
  <si>
    <t>Curriculum</t>
  </si>
  <si>
    <t>Study Abroad Opportunities</t>
  </si>
  <si>
    <t>City Trek Opportunities</t>
  </si>
  <si>
    <t>Experiential Learning Courses / Opportunities</t>
  </si>
  <si>
    <t>Accept Rate (%)</t>
  </si>
  <si>
    <t xml:space="preserve">Accept 3yr-degree from India? </t>
  </si>
  <si>
    <t>In-State ROI - Breakeven Point in Months</t>
  </si>
  <si>
    <t>Out-of-State ROI - Breakeven Point in Months</t>
  </si>
  <si>
    <t>International ROI - Breakeven Point in Months</t>
  </si>
  <si>
    <t>In-State Tuition Total - 2026</t>
  </si>
  <si>
    <t>Out-of-State Tuition Total - 2026</t>
  </si>
  <si>
    <t>International Tuition Total - 2026</t>
  </si>
  <si>
    <t>Purdue University</t>
  </si>
  <si>
    <t>Mitch Daniels School of Business</t>
  </si>
  <si>
    <t>Online MS Business Analytics</t>
  </si>
  <si>
    <t>https://business.purdue.edu/online/programs/ms-business-analytics/</t>
  </si>
  <si>
    <t>West Lafayette</t>
  </si>
  <si>
    <t>IN</t>
  </si>
  <si>
    <t>-</t>
  </si>
  <si>
    <t>No</t>
  </si>
  <si>
    <t>Rolling</t>
  </si>
  <si>
    <t>Yes</t>
  </si>
  <si>
    <t>Real world projects</t>
  </si>
  <si>
    <t>Daniels School student organizations</t>
  </si>
  <si>
    <t xml:space="preserve">	$1,068.80</t>
  </si>
  <si>
    <t xml:space="preserve"> - </t>
  </si>
  <si>
    <t>$37833 increase</t>
  </si>
  <si>
    <t>Georgia Institue of Technology</t>
  </si>
  <si>
    <t>College of Lifetime Learning</t>
  </si>
  <si>
    <t>Online MS in Business Analytics (MSBA)</t>
  </si>
  <si>
    <t>https://pe.gatech.edu/degrees/analytics</t>
  </si>
  <si>
    <t>Atlanta</t>
  </si>
  <si>
    <t>GA</t>
  </si>
  <si>
    <t>24-36</t>
  </si>
  <si>
    <t>https://pe.gatech.edu/degrees/analytics/curriculum#:~:text=Six</t>
  </si>
  <si>
    <t>Practicum(Six-Hour Practicum)</t>
  </si>
  <si>
    <t>Texas A&amp;M University - College Station</t>
  </si>
  <si>
    <t>Mays Business School</t>
  </si>
  <si>
    <t>Master of Science in Analytics</t>
  </si>
  <si>
    <t>https://mays.tamu.edu/graduate/masters/ms-programs/analytics/#:~:text=,online%20at%20my%20own%20pace</t>
  </si>
  <si>
    <t>College Station</t>
  </si>
  <si>
    <t>TX</t>
  </si>
  <si>
    <t>https://mays.tamu.edu/graduate/masters/ms-programs/analytics/#:~:text=Hands</t>
  </si>
  <si>
    <t xml:space="preserve">Capstone, "cornerstone", project competition </t>
  </si>
  <si>
    <t xml:space="preserve">$25,343.40
</t>
  </si>
  <si>
    <t>University of Pennsylvania</t>
  </si>
  <si>
    <t>Penn Engineering Online</t>
  </si>
  <si>
    <t>Master of Computer and Information Technology</t>
  </si>
  <si>
    <t>https://online.seas.upenn.edu/degrees/mcit-online/#:~:text=Designed%20specifically%20for%20students%20without,from%20all%20over%20the%20world</t>
  </si>
  <si>
    <t>Philadelphia</t>
  </si>
  <si>
    <t>PA</t>
  </si>
  <si>
    <t>20-36</t>
  </si>
  <si>
    <t>https://online.seas.upenn.edu/degrees/mcit-online/academics/             https://online.seas.upenn.edu/degrees/mcit-online/mcit-community/</t>
  </si>
  <si>
    <t>MCIT Online Academic Journey, SPARC</t>
  </si>
  <si>
    <t xml:space="preserve">https://online.seas.upenn.edu/degrees/mcit-online/academics/      </t>
  </si>
  <si>
    <t>MOSA</t>
  </si>
  <si>
    <t>$141,68</t>
  </si>
  <si>
    <t>Boston University</t>
  </si>
  <si>
    <t>Questrom School of Business</t>
  </si>
  <si>
    <t>Master of Science in Applied Business Analytics</t>
  </si>
  <si>
    <t>https://www.bu.edu/met/degrees-certificates/ms-applied-business-analytics/#:~:text=,Time%20Study%2A%3A%20%2427%2C204%E2%80%93%2428%2C956</t>
  </si>
  <si>
    <t>Boston</t>
  </si>
  <si>
    <t>MA</t>
  </si>
  <si>
    <t>8-16</t>
  </si>
  <si>
    <t>https://www.bu.edu/met/degrees-certificates/ms-applied-business-analytics/#:~:text=,Project%20in%20Applied%20Business%20Analytics</t>
  </si>
  <si>
    <t>Capstone Project course, Complimentary Analytics Labs, Extensive Network, Career Consulting</t>
  </si>
  <si>
    <t>Graduate Women in Science and Engineering, BU Analytics Association</t>
  </si>
  <si>
    <t>$27,204–$28,956</t>
  </si>
  <si>
    <t>Stevens Institute of Technology</t>
  </si>
  <si>
    <t>Stevens School of Business</t>
  </si>
  <si>
    <t>Master of Science in Business Intelligence and Analytics</t>
  </si>
  <si>
    <t>https://www.stevens.edu/program/business-intelligence-analytics-masters-program</t>
  </si>
  <si>
    <t>Hoboken</t>
  </si>
  <si>
    <t>New Jersey</t>
  </si>
  <si>
    <t>36-48</t>
  </si>
  <si>
    <t>Apr 15, Nov 1, Jan 1, May 1</t>
  </si>
  <si>
    <t>Capstone Experience, Real-World Project Experience, Networking Workshops</t>
  </si>
  <si>
    <t>Analytics Club, FinTech Club, Women in Business, Society of Women Engineers, hosts events (tech bootcamps, guest speaker webinars) which function as affinity spaces for analytics enthusiasts</t>
  </si>
  <si>
    <t xml:space="preserve">Georgetown University </t>
  </si>
  <si>
    <t>McDonough School of Business</t>
  </si>
  <si>
    <t>MS in Business Analytics (Online)</t>
  </si>
  <si>
    <t>https://msb.georgetown.edu/msba/master-of-science-in-business-analytics-online/</t>
  </si>
  <si>
    <t>Washington</t>
  </si>
  <si>
    <t>DC</t>
  </si>
  <si>
    <t>Round-based: Nov 11, Jan 13, Mar 10, May 12 for Fall intake</t>
  </si>
  <si>
    <t>https://msb.georgetown.edu/msba/online-experience-in-ms-in-finance-program-georgetown-university/</t>
  </si>
  <si>
    <t>Premier program, practical business experience, industry collaborations with Amazon Web Services (AWS) and Microsoft, the MSBA program integrates top cloud computing and analytics tools within a comprehensive industry-aligned curriculum.</t>
  </si>
  <si>
    <t>https://msb.georgetown.edu/mba/student-organizations/</t>
  </si>
  <si>
    <t>Asian Business Student Alliance (ABSA)
Black MBA Association (BMBAA)
European Business Association (EBA)</t>
  </si>
  <si>
    <t>University of Michigan</t>
  </si>
  <si>
    <t>Ross School of Business</t>
  </si>
  <si>
    <t>Master of Business Analytics (MBAn) program</t>
  </si>
  <si>
    <t>https://michiganross.umich.edu/graduate/master-of-business-analytics</t>
  </si>
  <si>
    <t>Ann Arbor</t>
  </si>
  <si>
    <t>MI</t>
  </si>
  <si>
    <t>35-36</t>
  </si>
  <si>
    <t>Aug 31, Jan 31</t>
  </si>
  <si>
    <t>https://umdearborn.edu/cob/graduate-programs/degree-programs/business-analytics-capstone-experience</t>
  </si>
  <si>
    <t>Students work with a UM-Dearborn faculty advisor and a mentor from a sponsoring company to model, analyze and recommend a solution for a significant business problem.</t>
  </si>
  <si>
    <t>https://michiganross.umich.edu/graduate/master-of-business-analytics/student-experience/clubs-and-involvement</t>
  </si>
  <si>
    <t>Student Graduate Clubs</t>
  </si>
  <si>
    <t>$1836 or $1803</t>
  </si>
  <si>
    <t>$1836 or $1804</t>
  </si>
  <si>
    <t>$1836 or $1805</t>
  </si>
  <si>
    <t xml:space="preserve">	$64,290</t>
  </si>
  <si>
    <t xml:space="preserve">	$69,290</t>
  </si>
  <si>
    <t>Southern Illinois University</t>
  </si>
  <si>
    <t>Southern Illinois University Carbondale</t>
  </si>
  <si>
    <t xml:space="preserve">Master of Science in Business Analytics </t>
  </si>
  <si>
    <t>https://onlinedegrees.siu.edu/online/bus-all-sap1-230104/?lsid=google&amp;lssid=siu_all_all_x_sr_gen&amp;utm_source=google&amp;utm_medium=cpc&amp;utm_term=siu%20masters%20online&amp;utm_content=General&amp;groupid=163010202920&amp;utm_campaign=siu_all_all_x_sr_gen-B-X-X-X-ALL&amp;campid=21154911326&amp;type=p&amp;network=g&amp;device=c&amp;adid=695601446588&amp;ptid=&amp;ad_pos=&amp;fdid=&amp;tgid=kwd-2294181698600&amp;lphys=9016722&amp;linst=&amp;model=&amp;sitetarg=&amp;gclid=CjwKCAjw0aS3BhA3EiwAKaD2ZSdZE0HRhzOXkn-tgFoLINwWwegm9Bloomington2m7O_vYxTNbiR_gXHl4PWLbThoCu3wQAvD_BwE&amp;gad_source=1</t>
  </si>
  <si>
    <t>Carbondale</t>
  </si>
  <si>
    <t>IL</t>
  </si>
  <si>
    <t>Indiana University</t>
  </si>
  <si>
    <t>Kelley School of Business</t>
  </si>
  <si>
    <t>https://kelley.iu.edu/programs/executive-education-degrees-certificates/online-masters-degrees/business-analytics/index.html</t>
  </si>
  <si>
    <t>Bloomington</t>
  </si>
  <si>
    <t>15-30</t>
  </si>
  <si>
    <t>yes</t>
  </si>
  <si>
    <t>Ball State University</t>
  </si>
  <si>
    <t>Ball State Online</t>
  </si>
  <si>
    <t>Online Master of Science in Data Science</t>
  </si>
  <si>
    <t>https://www.bsu.edu/academics/collegesanddepartments/online/academic-programs/masters/ms-data-science</t>
  </si>
  <si>
    <t>Muncie</t>
  </si>
  <si>
    <t>Limited</t>
  </si>
  <si>
    <t>Rutgers University</t>
  </si>
  <si>
    <t>Rutgers Camden School of Business</t>
  </si>
  <si>
    <t>Master of Science in Business Analytics</t>
  </si>
  <si>
    <t>https://business.camden.rutgers.edu/graduate/ms-in-business-analytics/</t>
  </si>
  <si>
    <t>Camden</t>
  </si>
  <si>
    <t>NJ</t>
  </si>
  <si>
    <t xml:space="preserve">Six one-credit online courses in collaboration with Professional and Executive Education at Rutgers </t>
  </si>
  <si>
    <t>University of Iowa</t>
  </si>
  <si>
    <t>Tippie College of Business</t>
  </si>
  <si>
    <t>Master of Business Analytics Programs</t>
  </si>
  <si>
    <t>https://tippie.uiowa.edu/masters-business-analytics?creative=649012853754&amp;keyword=%2Biowa%20%2Bms%20%2Banalytics&amp;matchtype=b&amp;network=g&amp;device=c&amp;gad_source=1&amp;page=where_in_the_world</t>
  </si>
  <si>
    <t>Iowa</t>
  </si>
  <si>
    <t>IA</t>
  </si>
  <si>
    <t>October 15, Febuary 15, April 15</t>
  </si>
  <si>
    <t>The Ohio State University</t>
  </si>
  <si>
    <t>Ohio State Online</t>
  </si>
  <si>
    <t>Specialized Master in Business Analytics</t>
  </si>
  <si>
    <t>https://online.osu.edu/masters-degree/master-business-analytics</t>
  </si>
  <si>
    <t>Columbus</t>
  </si>
  <si>
    <t>OH</t>
  </si>
  <si>
    <t>https://fisher.osu.edu/graduate/smb-a/fisher-smba-difference</t>
  </si>
  <si>
    <t>Analytics capstone, virtual lab, blended learning</t>
  </si>
  <si>
    <t>$30,504.24 - $42,286.64</t>
  </si>
  <si>
    <t>$30,504.24 - $42,286.65</t>
  </si>
  <si>
    <t>$30,504.24 - $42,286.66</t>
  </si>
  <si>
    <t>Career Coaching/Consulting Services Offered? (Yes/No)</t>
  </si>
  <si>
    <t>Career Coaching/Consulting Services Offered? (Link)</t>
  </si>
  <si>
    <t>Online MS Economics</t>
  </si>
  <si>
    <t>https://business.purdue.edu/online/programs/ms-economics/</t>
  </si>
  <si>
    <t>Between 12 and 24</t>
  </si>
  <si>
    <t>Fall: July 1, Spring: November 15, Summer: April 1</t>
  </si>
  <si>
    <t>Link</t>
  </si>
  <si>
    <t>Courses include econometrics, forecasting, data analysis, and statistical software training (Stata, R, Python, MATLAB).</t>
  </si>
  <si>
    <t>Includes student organizations like the Purdue Graduate Student Government, cultural and resource centers, and professional development opportunities.</t>
  </si>
  <si>
    <t>N</t>
  </si>
  <si>
    <t>https://business.purdue.edu/online/student-experience/career-services.php</t>
  </si>
  <si>
    <t>Merit-based scholarships are available and applicants are automatically considered.</t>
  </si>
  <si>
    <t>38 (Best Online Master's in Business Programs)</t>
  </si>
  <si>
    <t>Johns Hopkins University</t>
  </si>
  <si>
    <t>Krieger School of Arts and Sciences</t>
  </si>
  <si>
    <t>Master of Science in Applied Economics</t>
  </si>
  <si>
    <t>https://landing.advanced.jhu.edu/applied-economics/?utm_source=google&amp;utm_medium=cpc&amp;utm_term=hopkins+applied+economics&amp;utm_campaign=RWC_JHUAAP_MSAE_Search-PPC_Paid+Search_Google_Branded_NULL_Domestic_Brand-Program_NULL_Primary&amp;utm_content=MSAE%7CProgram%7CExact%7CObservation&amp;uadgroup=MSAE%7CProgram%7CExact%7CObservation&amp;uAdCampaign=RWC_JHUAAP_MSAE_Search-PPC_Paid+Search_Google_Branded_NULL_Domestic_Brand-Program_NULL_Primary&amp;gad=1&amp;gclid=EAIaIQobChMI6LrxgoiAgQMV-AutBh2yFgx7EAAYASAAEgKyS_D_BwE&amp;gclsrc=aw.ds</t>
  </si>
  <si>
    <t>D.C.</t>
  </si>
  <si>
    <t>3.0/4.0 minimum</t>
  </si>
  <si>
    <t>Between 12 and 2</t>
  </si>
  <si>
    <t>Fall: July 15, Spring: November 1, Summer: April 1</t>
  </si>
  <si>
    <t>Curriculum Page</t>
  </si>
  <si>
    <t>Students can complete an Applied Economics Project, a substantial research paper demonstrating mastery of applied economic analysis.</t>
  </si>
  <si>
    <t>JHU Office of Multicultural Affairs</t>
  </si>
  <si>
    <t>Students have access to university-wide affinity groups covering various cultural, ethnic, and identity-based communities.</t>
  </si>
  <si>
    <t>https://advanced.jhu.edu/student-resources/career-services/</t>
  </si>
  <si>
    <t>AAP students are eligible for a limited number of partial, merit-based scholarships each year. Federal and private loans are also available.</t>
  </si>
  <si>
    <t>Not Available</t>
  </si>
  <si>
    <t>#24 in Economics (University Overall)</t>
  </si>
  <si>
    <t>#12 in Economics (North America)</t>
  </si>
  <si>
    <t>American University</t>
  </si>
  <si>
    <t>College of Arts &amp; Sciences</t>
  </si>
  <si>
    <t>MA in Economics</t>
  </si>
  <si>
    <t>https://programs.online.american.edu/econ/masters-economics</t>
  </si>
  <si>
    <t>Not specified</t>
  </si>
  <si>
    <t>30-36</t>
  </si>
  <si>
    <t>Spring: Nov 1, Summer: Mar 1, Fall: Jun 1</t>
  </si>
  <si>
    <t>MA Economics Curriculum</t>
  </si>
  <si>
    <t>Students complete a required capstone experience, choosing between a master’s thesis, a practicum project, or a substantial research paper.</t>
  </si>
  <si>
    <t>Graduate Student Organizations</t>
  </si>
  <si>
    <t>The university offers various graduate-level student organizations and councils, though none are exclusively for MA in Economics students.</t>
  </si>
  <si>
    <t>Y</t>
  </si>
  <si>
    <t>https://www.american.edu/sis/career/</t>
  </si>
  <si>
    <t>Merit-based scholarships are available for online students.</t>
  </si>
  <si>
    <t>#83 in Economics (Graduate Schools)</t>
  </si>
  <si>
    <t>Not Ranked</t>
  </si>
  <si>
    <t>#251-300</t>
  </si>
  <si>
    <t>Georgia Southern University</t>
  </si>
  <si>
    <t>Parker College of Business</t>
  </si>
  <si>
    <t>https://www.georgiasouthern.edu/cogs/admission/msa/</t>
  </si>
  <si>
    <t>Statesboro</t>
  </si>
  <si>
    <t>Fall: July 1; Spring: Nov 1; Summer: Apr 1</t>
  </si>
  <si>
    <t>https://parker.georgiasouthern.edu/msae/curriculum/</t>
  </si>
  <si>
    <t>The program curriculum has a strong focus on application using modern data analysis software, culminating in a required applied econometrics project.</t>
  </si>
  <si>
    <t>https://parker.georgiasouthern.edu/student-organizations/</t>
  </si>
  <si>
    <t>The Parker College of Business offers numerous student organizations focused on professional development, specific business disciplines, and diversity.</t>
  </si>
  <si>
    <t>https://ocpd.georgiasouthern.edu/channels/student/</t>
  </si>
  <si>
    <t>Yes, available for currently enrolled students.</t>
  </si>
  <si>
    <t>#70 in Best Online Master's in Business Programs (Excluding MBA)</t>
  </si>
  <si>
    <t>University of North Dakota</t>
  </si>
  <si>
    <t>Nistler College of Business &amp; Public Administration</t>
  </si>
  <si>
    <t>Master of Science in Applied Economics &amp; Predictive Analytics</t>
  </si>
  <si>
    <t>https://und.edu/programs/applied-economics-ms/index.html</t>
  </si>
  <si>
    <t>Grand Forks</t>
  </si>
  <si>
    <t>ND</t>
  </si>
  <si>
    <t xml:space="preserve">161 verbal, 152 quantitative, 4.5 analytical writing
</t>
  </si>
  <si>
    <t>&lt;24</t>
  </si>
  <si>
    <t>Fall: July 15; Spring: Nov 15; Summer: April 15</t>
  </si>
  <si>
    <t>https://und.edu/study/graduate/applied-economics-and-predictive-analytics.html#curriculum-6</t>
  </si>
  <si>
    <t>Students can complete a research project or a practicum in applied economics (ECON 598).</t>
  </si>
  <si>
    <t>https://business.und.edu/student-essentials/organizations.html</t>
  </si>
  <si>
    <t>The Nistler College hosts various student organizations, although accessibility for online students is not explicitly detailed.</t>
  </si>
  <si>
    <t>https://und.edu/student-life/career-services/index.html</t>
  </si>
  <si>
    <t>#51 in Best Online Master's in Business Programs (non-MBA)</t>
  </si>
  <si>
    <t>University of Missouri-Columbia</t>
  </si>
  <si>
    <t>Missouri Online</t>
  </si>
  <si>
    <t>https://online.missouri.edu/degrees-programs/mu/arts-and-sciences/economics/ma</t>
  </si>
  <si>
    <t>Columbia</t>
  </si>
  <si>
    <t>MO</t>
  </si>
  <si>
    <t>Minimum 3.0 on 4.0 scale</t>
  </si>
  <si>
    <t>Fall: July 1, Spring: Dec 1, Summer: May 1</t>
  </si>
  <si>
    <t>Academics Page</t>
  </si>
  <si>
    <t>Students can enroll in research projects or an internship in economics for course credit.</t>
  </si>
  <si>
    <t>Program-specific or online student affinity groups are not advertised.</t>
  </si>
  <si>
    <t>https://career.missouri.edu/about/career-coaching/#gradstudents</t>
  </si>
  <si>
    <t>General financial aid is available; program-specific scholarships are not specified.</t>
  </si>
  <si>
    <t>Not Specified</t>
  </si>
  <si>
    <t>#91 in Economics (Overall, not specific to online)</t>
  </si>
  <si>
    <t>#401-450</t>
  </si>
  <si>
    <t>George Mason University</t>
  </si>
  <si>
    <t>College of Humanities and Social Sciences</t>
  </si>
  <si>
    <t>https://masononline.gmu.edu/programs/ma-masters-economics/</t>
  </si>
  <si>
    <t>Fairfax</t>
  </si>
  <si>
    <t>VA</t>
  </si>
  <si>
    <t>GRE optional - Average: 155 Verbal (73rd percentile), 154 Quantitative (55th percentile)</t>
  </si>
  <si>
    <t>25-35 students per class (target range for MA and PhD combined)</t>
  </si>
  <si>
    <t>80% (160 accepted out of 200 applied)</t>
  </si>
  <si>
    <t>18 months minimum</t>
  </si>
  <si>
    <t>30 credits</t>
  </si>
  <si>
    <t>No - Fully online program with no campus visits required</t>
  </si>
  <si>
    <t>Rolling admissions for Fall and Spring semesters</t>
  </si>
  <si>
    <t>Research projects, individual and group work, experimental economics, capstone course</t>
  </si>
  <si>
    <t>https://mason360.gmu.edu/</t>
  </si>
  <si>
    <t>Indian Student Association, various cultural organizations</t>
  </si>
  <si>
    <t>N - George Mason University does not accept 15 years of education or 3-years Bachelor's degree</t>
  </si>
  <si>
    <t>https://business.gmu.edu/current-students/career-services#:~:text=That%20means%20throughout%20your%20time,2140%20to%20schedule%20an%20appointment.</t>
  </si>
  <si>
    <t>Economics MA Fellowship available on competitive basis</t>
  </si>
  <si>
    <t>Economics programs tied at #93 nationally</t>
  </si>
  <si>
    <t>Not found in search results</t>
  </si>
  <si>
    <t>351-400</t>
  </si>
  <si>
    <t>Southern New Hampshire University</t>
  </si>
  <si>
    <t>School of Business</t>
  </si>
  <si>
    <t>Master's in Economics</t>
  </si>
  <si>
    <t>https://www.collegefactual.com/graduate-schools/southern-new-hampshire-university/masters-degrees/social-sciences/economics/</t>
  </si>
  <si>
    <t>Hooksett</t>
  </si>
  <si>
    <t>NH</t>
  </si>
  <si>
    <t>https://www.snhu.edu/student-experience/career</t>
  </si>
  <si>
    <t>University of Detroit Mercy</t>
  </si>
  <si>
    <t>Master of Arts in Economics</t>
  </si>
  <si>
    <t>https://chass.udmercy.edu/academics/econ/master-of-arts-in-economics.php</t>
  </si>
  <si>
    <t>Detroit</t>
  </si>
  <si>
    <t>Not Required</t>
  </si>
  <si>
    <t>3.0 minimum</t>
  </si>
  <si>
    <t>25% (university-wide)</t>
  </si>
  <si>
    <t>50% (2021-2022 Economics MA graduates)</t>
  </si>
  <si>
    <t>80% (university-wide)</t>
  </si>
  <si>
    <t>12 (1 academic year)</t>
  </si>
  <si>
    <t>Yes (also available fully online)</t>
  </si>
  <si>
    <t>Rolling admission: Fall - May 1, Winter - Sept 1, Summer - March 1</t>
  </si>
  <si>
    <t>Graduate Assistant positions available, cooperative education program</t>
  </si>
  <si>
    <t>60+ registered student groups and organizations</t>
  </si>
  <si>
    <t>https://www.udmercy.edu/current-students/cec/</t>
  </si>
  <si>
    <t>$29,760 (30 credits × $992)</t>
  </si>
  <si>
    <t>Merit-based scholarships available (amount varies)</t>
  </si>
  <si>
    <t>#189 National Universities</t>
  </si>
  <si>
    <t>Online MS Global Supply Chain Management</t>
  </si>
  <si>
    <t>https://business.purdue.edu/online/programs/ms-global-supply-chain-management/</t>
  </si>
  <si>
    <t>18-30</t>
  </si>
  <si>
    <t>https://business.purdue.edu/online/programs/ms-global-supply-chain-management/curriculum.php</t>
  </si>
  <si>
    <t>Online MSGSCM has built a long history of partnerships with manufacturing firms worldwide and leads the way with its rigorous, broad curriculum.</t>
  </si>
  <si>
    <t>https://www.purdueforlife.org/affinity-networks/</t>
  </si>
  <si>
    <t>Identity, resources, interests</t>
  </si>
  <si>
    <t>https://business.purdue.edu/careers/graduate/home.php</t>
  </si>
  <si>
    <t>Average salary improvement of $23397</t>
  </si>
  <si>
    <t>Pennsylvania State University--World Campus</t>
  </si>
  <si>
    <t>Penn State World Campus</t>
  </si>
  <si>
    <t>Master of Supply Chain Management</t>
  </si>
  <si>
    <t>https://www.worldcampus.psu.edu/degrees-and-certificates/penn-state-online-supply-chain-management-masters-degree</t>
  </si>
  <si>
    <t>University Park</t>
  </si>
  <si>
    <t>20-28</t>
  </si>
  <si>
    <t>Yes (through Penn State, not Penn State World Campus)</t>
  </si>
  <si>
    <t>Apply by Nov 15 to start Jan 12</t>
  </si>
  <si>
    <t>https://www.worldcampus.psu.edu/degrees-and-certificates/penn-state-online-supply-chain-management-masters-degree#smeal-advantage:~:text=A%20real%2Dworld%20perspective</t>
  </si>
  <si>
    <t>Any student pursing a full degree from Smeal may participate in this optional, faculty-led experience for elective credit. Previous destinations have included Shanghai, China; Johannesburg, South Africa; Prague, Czech Republic; Santiago, Chile; and Zagreb, Croatia.</t>
  </si>
  <si>
    <t>https://www.psu.edu/news/world-campus/story/penn-state-world-campus-affinity-groups-help-connect-students</t>
  </si>
  <si>
    <t>Parenting students affinity group</t>
  </si>
  <si>
    <t>https://www.smeal.psu.edu/alumni/alumni-career-services</t>
  </si>
  <si>
    <t>Rutgers Business School</t>
  </si>
  <si>
    <t>https://www.business.rutgers.edu/masters-supply-chain-management</t>
  </si>
  <si>
    <t>New Brunsick</t>
  </si>
  <si>
    <t>Jan 5 - spring 2026 admissions deadline</t>
  </si>
  <si>
    <t>https://www.business.rutgers.edu/employers-recruiters/graduate</t>
  </si>
  <si>
    <t>Career fairs, case competitions, corporate presentations, guest speakers, industry client project program, meet &amp; greets, student club events</t>
  </si>
  <si>
    <t>https://grad.rutgers.edu/affinity-groups-graduate-students</t>
  </si>
  <si>
    <t>Student based, by college, identity based</t>
  </si>
  <si>
    <t>https://www.business.rutgers.edu/full-time-mba/student-services</t>
  </si>
  <si>
    <t>Michigan State University</t>
  </si>
  <si>
    <t>Eli Broad College of Business</t>
  </si>
  <si>
    <t>Master of science in Supply Chain Management</t>
  </si>
  <si>
    <t>https://explore.michiganstateuniversityonline.com/ms-scm?utm_source=google&amp;utm_medium=cpc&amp;utm_campaign=MSU_FY2026_Google_Grad_Search_SCM_Brand&amp;utm_content=&amp;utm_term=msu%20masters%20in%20supply%20chain&amp;utm_matchtype=e&amp;utm_network=g&amp;campaignid=701R700000YGj2TIAT&amp;utm_adposition=&amp;device=c&amp;vendorid=2109937&amp;gad_source=1&amp;gad_campaignid=22882753646&amp;gbraid=0AAAAAD_Vru_TcQyWfEKvyDbYZPo8mz3P3&amp;gclid=CjwKCAjwlOrFBhBaEiwAw4bYDalXDJdpkNTNBnHu6pqXocSOb41HVxRhEoMNmGEunqCG_DFmWeEbFxoCS7kQAvD_BwE</t>
  </si>
  <si>
    <t>East Lansing</t>
  </si>
  <si>
    <t>Next start date - Jan 12</t>
  </si>
  <si>
    <t>https://grad.msu.edu/graduate-student-organizations</t>
  </si>
  <si>
    <t>Diversity based groups</t>
  </si>
  <si>
    <t>https://broad.msu.edu/career-management/graduate/</t>
  </si>
  <si>
    <t>University of Tenessee-Knoxville</t>
  </si>
  <si>
    <t>Haslam College of Business</t>
  </si>
  <si>
    <t>Master’s Degree in Supply Chain Management</t>
  </si>
  <si>
    <t>https://volsonline.utk.edu/program/masters/supply-chain-management-ms/</t>
  </si>
  <si>
    <t>Knoxville</t>
  </si>
  <si>
    <t>TN</t>
  </si>
  <si>
    <t>18-24</t>
  </si>
  <si>
    <t>https://volsonline.utk.edu/program/masters/supply-chain-management-ms/#:~:text=three%2Dday%2C%20in%2Dperson%20immersion</t>
  </si>
  <si>
    <t xml:space="preserve">This flexible and comprehensive program covers all critical aspects of the supply chain, including procurement, planning, manufacturing, distribution, and key enablers such as technology and international trade. To enrich your experience, the program includes a required three-day, in-person immersion—giving you the opportunity to connect with faculty and peers while deepening your learning. With expert faculty guiding your journey, you’ll gain the skills and knowledge to thrive in a competitive, globalized industry.
</t>
  </si>
  <si>
    <t>https://haslam.utk.edu/access/student-experience/</t>
  </si>
  <si>
    <t>Academic resources, online resources and student organizations</t>
  </si>
  <si>
    <t>https://studentsuccess.utk.edu/career/students/graduate-students/</t>
  </si>
  <si>
    <t>University of Kentucky</t>
  </si>
  <si>
    <t>Gatton College of Business and Economics</t>
  </si>
  <si>
    <t>http://online.uky.edu/masters/supply-chain-management/ms</t>
  </si>
  <si>
    <t>Lexington</t>
  </si>
  <si>
    <t>KY</t>
  </si>
  <si>
    <t>App due 7/24/25 for fall 2026, app due 12/12/25 for spring 2026</t>
  </si>
  <si>
    <t>https://online.uky.edu/masters/supply-chain-management/ms</t>
  </si>
  <si>
    <t>Industry project experience</t>
  </si>
  <si>
    <t>https://uknow.uky.edu/professional-news/affinity-groups-created-benefit-uk-faculty-staff</t>
  </si>
  <si>
    <t>Religion, identity groups</t>
  </si>
  <si>
    <t>https://gradschool.uky.edu/professional-enhancement/career</t>
  </si>
  <si>
    <t>University of St. Francis</t>
  </si>
  <si>
    <t>College of Business &amp; Health Administration</t>
  </si>
  <si>
    <t>MBA with Supply Chain Concentration</t>
  </si>
  <si>
    <t>https://stfrancis.edu/mba/</t>
  </si>
  <si>
    <t>Joliet</t>
  </si>
  <si>
    <t>12-24</t>
  </si>
  <si>
    <t>USF’s classes feature adult-learning activities such as case study exercises, directed discussions, and team projects and presentations.</t>
  </si>
  <si>
    <t>https://stfrancis.edu/student-life/clubs-organizations-honor-societies/</t>
  </si>
  <si>
    <t>Clubs, organizations, honor societies</t>
  </si>
  <si>
    <t>https://stfrancis.edu/career-success-center/</t>
  </si>
  <si>
    <t xml:space="preserve">Arizona State University </t>
  </si>
  <si>
    <t>ASU Online</t>
  </si>
  <si>
    <t>Online Master of Science in Supply Chain Management</t>
  </si>
  <si>
    <t>https://asuonline.asu.edu/online-degree-programs/graduate/supply-chain-management-ms/</t>
  </si>
  <si>
    <t>Tempe</t>
  </si>
  <si>
    <t>AZ</t>
  </si>
  <si>
    <t>155 V, 151 Q, 4.3 AW</t>
  </si>
  <si>
    <t>https://wpcarey.asu.edu/masters-programs/online-supply-chain-management/experience</t>
  </si>
  <si>
    <t>Workshops, career fairs, online resources</t>
  </si>
  <si>
    <t>https://alumni.asu.edu/affinity-network</t>
  </si>
  <si>
    <t>Cultural, religious, leadership program</t>
  </si>
  <si>
    <t>https://career.wpcarey.asu.edu/</t>
  </si>
  <si>
    <t>University of Nebraska-Lincoln</t>
  </si>
  <si>
    <t>Online Education</t>
  </si>
  <si>
    <t>Master of Science in Supply Chain Management</t>
  </si>
  <si>
    <t>https://online.unl.edu/major/graduate/master-supply-chain-management/</t>
  </si>
  <si>
    <t>Lincoln</t>
  </si>
  <si>
    <t>NE</t>
  </si>
  <si>
    <t>151 V, 153 Q, 5 AW</t>
  </si>
  <si>
    <t>7/1 for fall start (Aug), 11/1 for spring start (Jan), 4/1 for summer start (May)</t>
  </si>
  <si>
    <t>https://business.unl.edu/graduate-programs/online-masters-programs/ms-supply-chain-management/</t>
  </si>
  <si>
    <t>Option to apply for fellowships, specialized supply chain mangement interactive courses</t>
  </si>
  <si>
    <t>https://huskers.com/affinity-groups</t>
  </si>
  <si>
    <t>Athletic groups</t>
  </si>
  <si>
    <t>https://business.unl.edu/business-career-center/#:~:text=Meet%20With%20a%20Career%20Coach,)%20are%20available%20year%2D%20round.</t>
  </si>
  <si>
    <t>Auburn University</t>
  </si>
  <si>
    <t>Harbert College of Business</t>
  </si>
  <si>
    <t>Master of Science in Supply Chain Management—Online</t>
  </si>
  <si>
    <t>https://harbert.auburn.edu/degrees-programs/graduate/ms-supply-chain-online/index.html</t>
  </si>
  <si>
    <t>Auburn</t>
  </si>
  <si>
    <t>AL</t>
  </si>
  <si>
    <t>154 V, 152 Q, 4 AW</t>
  </si>
  <si>
    <t>To start in fall: domestic - July 15, int'l - May 15; to start in spring: domestic - Nov 15, int'l - Oct 1</t>
  </si>
  <si>
    <t>Engaging with global corporations via seminars, case studies, and student-led consulting projects. You will also gain exclusive access to esteemed professional bodies like the Council of Supply Chain Management Professionals via a complimentary membership.</t>
  </si>
  <si>
    <t>https://alumni.auburn.edu/clubs/</t>
  </si>
  <si>
    <t>Several listed on website</t>
  </si>
  <si>
    <t>https://harbert.auburn.edu/current-students/graduate-career-services/index.html</t>
  </si>
  <si>
    <t>Metropolitan College</t>
  </si>
  <si>
    <t>Online Master of Science in Supply Chain Management Degree</t>
  </si>
  <si>
    <t>https://www.bu.edu/online/programs/graduate-programs/supply-chain-management/</t>
  </si>
  <si>
    <t>https://www.bu.edu/met/admissions/apply-now-graduate/#:~:text=Application%20Deadlines</t>
  </si>
  <si>
    <t>https://www.bu.edu/met/degrees-certificates/ms-supply-chain-management/?utm_source=ode&amp;utm_medium=website&amp;utm_content=tuition-chart-msscm&amp;utm_campaign=online-programs#cost</t>
  </si>
  <si>
    <t>1. Capstone Project
2. DSLab Research Projects
3. Active Learning Environment</t>
  </si>
  <si>
    <t>https://www.bu.edu/careers/resources/identity-affinity/</t>
  </si>
  <si>
    <t>Affinity groups by indentity and industry</t>
  </si>
  <si>
    <t>https://questromfeld.bu.edu/channels/meet-your-career-coach-mba/</t>
  </si>
  <si>
    <t>$27,204–$30,708</t>
  </si>
  <si>
    <t>$27,204–$30,709</t>
  </si>
  <si>
    <t>$27,204–$30,710</t>
  </si>
  <si>
    <t>University of Southern California</t>
  </si>
  <si>
    <t>Marshall School of Business</t>
  </si>
  <si>
    <t>Master of Science in Global Supply Chain Management</t>
  </si>
  <si>
    <t>https://www.marshall.usc.edu/programs/graduate-programs/specialized-masters/ms-global-supply-chain-management</t>
  </si>
  <si>
    <t>Los Angeles</t>
  </si>
  <si>
    <t>CA</t>
  </si>
  <si>
    <t>154 V, 153 Q, 4.1 AW</t>
  </si>
  <si>
    <t>Nov 1 - round 1, Jan 15 - round 2, Apr 15 - round 3</t>
  </si>
  <si>
    <t>https://online.usc.edu/programs/global-supply-chain-management-gscm/#:~:text=Experiential%20Learning%20Requirement</t>
  </si>
  <si>
    <t xml:space="preserve">Students will travel to a dynamic international supply chain hub such as Singapore and Los Angeles for a week-long intensive experiential learning trip.
</t>
  </si>
  <si>
    <t>https://clubs.marshall.usc.edu/affinity/about/</t>
  </si>
  <si>
    <t>$45 annual fee for access to graduate affinity groups</t>
  </si>
  <si>
    <t>https://www.marshall.usc.edu/trojan-network/recruiting/graduate</t>
  </si>
  <si>
    <t>Georgetown University</t>
  </si>
  <si>
    <t xml:space="preserve">School of Continuing Studies </t>
  </si>
  <si>
    <t>Online Master's in Supply Chain Management</t>
  </si>
  <si>
    <t>https://scs.georgetown.edu/programs/503/online/online-masters-in-supply-chain-management/</t>
  </si>
  <si>
    <t>574-670</t>
  </si>
  <si>
    <t>152-166 V, 154-168 Q, 3-5.5 AW</t>
  </si>
  <si>
    <t>24-60</t>
  </si>
  <si>
    <t>https://scs.georgetown.edu/programs/503/online/online-masters-in-supply-chain-management/#:~:text=Through%20a%20blend,leading%20consulting%20firms.</t>
  </si>
  <si>
    <t>Through a blend of online simulations, guest speakers, and case studies, you will be immersed in the world of supply chain management and understand essential, real-world topics such as: sourcing sustainable products from vendors, measuring and reporting environmental impacts, ethical sourcing, safety and quality assurance, and human rights in the supply chain. You will learn from esteemed faculty and subject matter experts from private and public organizations around the world, including Fortune 500 corporations, government agencies, transit authorities, and leading consulting firms.</t>
  </si>
  <si>
    <t>Several graduate student clubs for different groups</t>
  </si>
  <si>
    <t>https://msb.georgetown.edu/executive-mba/career/career-coaches/</t>
  </si>
  <si>
    <t>The number is for entire school, not for the specific program</t>
  </si>
  <si>
    <t>Online Master's in Human Resource Management</t>
  </si>
  <si>
    <t>https://business.purdue.edu/online/programs/ms-human-resource-management/</t>
  </si>
  <si>
    <t>Aug 1 - application deadline</t>
  </si>
  <si>
    <t xml:space="preserve">Yes </t>
  </si>
  <si>
    <t>https://business.purdue.edu/experiential-learning/</t>
  </si>
  <si>
    <t>By industry/discipline</t>
  </si>
  <si>
    <t>Alumni network through PFL</t>
  </si>
  <si>
    <t>https://business.purdue.edu/careers/graduate/</t>
  </si>
  <si>
    <t>Over $15,000 salary boost</t>
  </si>
  <si>
    <t>Purdue University Global</t>
  </si>
  <si>
    <t>Business</t>
  </si>
  <si>
    <t>Online Master of Science Degree in Management and Leadership</t>
  </si>
  <si>
    <t>https://www.purdueglobal.edu/degree-programs/business/online-master-management-degree/</t>
  </si>
  <si>
    <t>Apply by Oct 1 to start Oct 15, apply by Dec 24 to start Jan 7</t>
  </si>
  <si>
    <t>https://onlinedegrees.purdue.edu/purdue-global/business/ms-management/?creative=522076577888&amp;device=c&amp;matchtype=b&amp;network=g&amp;gclsrc=aw.ds&amp;source=SF55042&amp;ve=62295&amp;utm_source=Google&amp;utm_medium=CPC&amp;utm_campaign=pgo_sem_gsa_pros_inq_br_purdue_np_nonprog_ms_mbr&amp;utm_term=106567726-VQ2-g-VQ6-522076577888-VQ16-c-Target-kwd-426366233733&amp;gad_source=1&amp;gad_campaignid=9324055627&amp;gbraid=0AAAAAClj6H-fmbBKFXCzlI6wjt78RRzqx&amp;gclid=CjwKCAjw_fnFBhB0EiwAH_MfZgOr2pcGGr9KNhrzkJDMtE6f3j9wlpWnYOcFSwHS1gcQ__aZY2gqXBoCzOQQAvD_BwE</t>
  </si>
  <si>
    <t>Learning from experts in their fields through interactive online campus</t>
  </si>
  <si>
    <t>https://www.purdueglobal.edu/student-experience/student-life/communities-clubs/</t>
  </si>
  <si>
    <t>General interest, programmatic/professional, affinity/identity, honor societies</t>
  </si>
  <si>
    <t>$47164-102608</t>
  </si>
  <si>
    <t>Pennsylvania State University</t>
  </si>
  <si>
    <t>Smeal College of Business</t>
  </si>
  <si>
    <t xml:space="preserve">Master of
Human Resources and Employment Relations
</t>
  </si>
  <si>
    <t>https://www.worldcampus.psu.edu/degrees-and-certificates/penn-state-online-human-resources-and-employment-relations-masters-degree</t>
  </si>
  <si>
    <t>152 V, 156 Q, 3.7 AW</t>
  </si>
  <si>
    <t>30-33</t>
  </si>
  <si>
    <t>Apply by Dec 1 to start Jan 12</t>
  </si>
  <si>
    <t>https://www.worldcampus.psu.edu/degrees-and-certificates/penn-state-online-human-resources-and-employment-relations-masters-degree#:~:text=about%20these%20optional-,intensive%20courses,-.</t>
  </si>
  <si>
    <t>5-day intensive session at University Park</t>
  </si>
  <si>
    <t>https://studentaffairs.psu.edu/penn-state-world-campus-affinity-groups-help-connect-students</t>
  </si>
  <si>
    <t>Parenting students group</t>
  </si>
  <si>
    <t>https://careerconnections.smeal.psu.edu/channels/graduate-programs/</t>
  </si>
  <si>
    <t>31110-34221</t>
  </si>
  <si>
    <t>31110-34222</t>
  </si>
  <si>
    <t>31110-34223</t>
  </si>
  <si>
    <t>$31,110-$34,221</t>
  </si>
  <si>
    <t>$31,110-$34,222</t>
  </si>
  <si>
    <t>$31,110-$34,223</t>
  </si>
  <si>
    <t>University of Illinois Urbana-Champaign</t>
  </si>
  <si>
    <t>School of Labor and Employment Relations</t>
  </si>
  <si>
    <t>Master of Human Resources and Industrial Relations</t>
  </si>
  <si>
    <t>https://online.illinois.edu/online-programs/graduate-programs/human-resources-industrial-relations</t>
  </si>
  <si>
    <t>Champaign</t>
  </si>
  <si>
    <t>Encouraged</t>
  </si>
  <si>
    <t>Jan start - apply by Nov 1, May start - Apr 1, Aug start - July 1</t>
  </si>
  <si>
    <t>https://giesbusiness.illinois.edu/experience/experiential-learning</t>
  </si>
  <si>
    <t>Client partnerships, LX Consortium</t>
  </si>
  <si>
    <t>https://giesbusiness.illinois.edu/about/access-and-community</t>
  </si>
  <si>
    <t>Identity based groups</t>
  </si>
  <si>
    <t>https://www.careercenter.illinois.edu/services/careercoaching</t>
  </si>
  <si>
    <t>Texas A&amp;M</t>
  </si>
  <si>
    <t>Online MS Human Resource Management</t>
  </si>
  <si>
    <t>https://mays.tamu.edu/graduate/flex-online/human-resource-management/program-details/</t>
  </si>
  <si>
    <t>https://mays.tamu.edu/graduate/masters/ms-programs/human-resource-management/program-details/</t>
  </si>
  <si>
    <t>Workshops and Fortune 500 executive guest speakers</t>
  </si>
  <si>
    <t>https://getinvolved.tamu.edu/org/bold</t>
  </si>
  <si>
    <t>Identity, diversity, leadership, professional groups</t>
  </si>
  <si>
    <t>https://mays.tamu.edu/recruit-at-mays/career-center/#graduate</t>
  </si>
  <si>
    <t>College of Social Science</t>
  </si>
  <si>
    <t>https://hrlr.msu.edu/degrees/mhrlr/index.html</t>
  </si>
  <si>
    <t>50-60</t>
  </si>
  <si>
    <t>https://socialscience.msu.edu/undergraduate/experiential-learning/index.html</t>
  </si>
  <si>
    <t>Study abroad, international and domestic internships, research, community engagement, study away</t>
  </si>
  <si>
    <t>https://careernetwork.msu.edu/channels/identity-affinity-groups/</t>
  </si>
  <si>
    <t>https://socialscience.msu.edu/undergraduate/current-students/careers/index.html</t>
  </si>
  <si>
    <t>95-100%</t>
  </si>
  <si>
    <t>University of Connecticut</t>
  </si>
  <si>
    <t>MS in Human Resources</t>
  </si>
  <si>
    <t>https://hrm.business.uconn.edu/programs/hrm-online-ms-degree/</t>
  </si>
  <si>
    <t xml:space="preserve"> Storrs</t>
  </si>
  <si>
    <t>CT</t>
  </si>
  <si>
    <t>https://www.business.uconn.edu/experiential-learning/</t>
  </si>
  <si>
    <t>Innovation Accelerator, Student Managed fund</t>
  </si>
  <si>
    <t>https://career.uconn.edu/channels/affinity-communities/</t>
  </si>
  <si>
    <t>Identity-based, cultural,  first generation</t>
  </si>
  <si>
    <t>https://grad.business.uconn.edu/career/</t>
  </si>
  <si>
    <t>School of Management and Labor Relations</t>
  </si>
  <si>
    <t>Online Professional Master's in Human Resource Management (MHRM)</t>
  </si>
  <si>
    <t>https://smlr.rutgers.edu/academic-programs/graduate-programs/online-professional-masters-human-resource-management-mhrm</t>
  </si>
  <si>
    <t>150-159 V, 153-170 Q, 3-5.5 AW</t>
  </si>
  <si>
    <t xml:space="preserve">Students have the opportunity to interact with experienced colleagues in their program cohort in addition to academic experts leading the instruction, strengthening their professional network and exchanging in-depth industry experience. </t>
  </si>
  <si>
    <t>Identity, professional groups</t>
  </si>
  <si>
    <t>Bovard College</t>
  </si>
  <si>
    <t>Online MS in Human Resource Management</t>
  </si>
  <si>
    <t>https://bovardcollege.usc.edu/hr/admissions/tuition-financial-aid/</t>
  </si>
  <si>
    <t>12 or 24</t>
  </si>
  <si>
    <t>Sep 16 - priority review deadline, Nov 18 - final application deadline</t>
  </si>
  <si>
    <t>https://www.usnews.com/education/online-education/university-of-southern-california-OBUS0767/business#:~:text=About%20the%20Online%20Graduate%20Business%20Degree%20Program</t>
  </si>
  <si>
    <t>We offer 2 one-week experiential trips to Singapore &amp; Malaysia and Los Angeles. The course is designed to provide deep insights into the opportunities and challenges faced by the global supply chain professionals in different countries and cultures. Through the trip, students develop an understanding of the global supply chain business opportunities and challenges. Students also earn their green belt certification and receive networking opportunities through the Randall. R. Kendrick institute.</t>
  </si>
  <si>
    <t>$45 pass to gain access to affinity groups</t>
  </si>
  <si>
    <t>https://www.marshall.usc.edu/trojan-network/career-services</t>
  </si>
  <si>
    <t>George Washington University</t>
  </si>
  <si>
    <t xml:space="preserve">
School of Business</t>
  </si>
  <si>
    <t>Master of Human Resource Management (MHRM)</t>
  </si>
  <si>
    <t>https://business.gwu.edu/ms-human-resource-management</t>
  </si>
  <si>
    <t>https://business.gwu.edu/academics/programs/international</t>
  </si>
  <si>
    <t>ACE Program, Business &amp; Society Series, Consulting Abroad Program (CAP) Inbound Exchange, International Student Advisory Board (ISAB), International Student Services, Long-Term Study Abroad (LTSA),Short-Term Study Away Programs (STAPs)</t>
  </si>
  <si>
    <t>https://business.gwu.edu/about/alumni/groups-networks/school-affinity-groups</t>
  </si>
  <si>
    <t>Tech alumni, tourism alumni, project management alumnni network, healthcare MBA alumni association</t>
  </si>
  <si>
    <t>https://business.gwu.edu/career-center/graduate</t>
  </si>
  <si>
    <t>https://online.business.gwu.edu/master-human-resource-management#:~:text=A%20Scholarship%20Built%20Into%20Your%20Degree</t>
  </si>
  <si>
    <t>Florida International University</t>
  </si>
  <si>
    <t>Master of Science in Human Resource Management</t>
  </si>
  <si>
    <t>https://business.fiu.edu/academics/graduate/human-resource-management-online/index.html</t>
  </si>
  <si>
    <t>Miami</t>
  </si>
  <si>
    <t>FL</t>
  </si>
  <si>
    <t>148 V, 146 Q, 3 AW</t>
  </si>
  <si>
    <t>https://business.fiu.edu/faculty-and-research/centers-institutes/pino/experiential-immersion/</t>
  </si>
  <si>
    <t>Travelling opportunities</t>
  </si>
  <si>
    <t>https://business.fiu.edu/alumni/groups/</t>
  </si>
  <si>
    <t>Women's Association, Marketing Alumni Affinity Council, Real Estate Alumni Affinity Council</t>
  </si>
  <si>
    <t>http://career.fiu.edu/resources/schedule-an-appointment/</t>
  </si>
  <si>
    <t>Pepperdine University</t>
  </si>
  <si>
    <t>Graziadio Business School</t>
  </si>
  <si>
    <t>Online Master's in Human Resources</t>
  </si>
  <si>
    <t>https://bschool.pepperdine.edu/online-masters-human-resources/</t>
  </si>
  <si>
    <t>Malibu</t>
  </si>
  <si>
    <t>Sep 2 (priority spring 2026), Oct 1 (regular spring 2026), Dec 1 (final spring 2026</t>
  </si>
  <si>
    <t>Yes (2)</t>
  </si>
  <si>
    <t>https://bschool.pepperdine.edu/online-masters-human-resources/#:~:text=2,decision%2Dmaking%20skills.</t>
  </si>
  <si>
    <t xml:space="preserve">You will attend two experiential-learning immersions to connect with peers and faculty while sharpening your communication and decision-making skills.
</t>
  </si>
  <si>
    <t>https://www.pepperdine.edu/alumni/regional-networks/</t>
  </si>
  <si>
    <t>Regional groups can be found on website</t>
  </si>
  <si>
    <t>https://career.bschool.pepperdine.edu/career-coaches/#karen-weiss</t>
  </si>
  <si>
    <t>https://bschool.pepperdine.edu/online-masters-human-resources/#:~:text=students%20considered%20for-,scholarships,-with%20over%20%246</t>
  </si>
  <si>
    <t>Stony Brook University</t>
  </si>
  <si>
    <t>School of Professional Development</t>
  </si>
  <si>
    <t>https://www.stonybrook.edu/commcms/online-masters-in-human-resource-management/index.php</t>
  </si>
  <si>
    <t>Stony Brook</t>
  </si>
  <si>
    <t>NY</t>
  </si>
  <si>
    <t>18-36</t>
  </si>
  <si>
    <t>Fall - Aug 4, Spring - Jan 5, Summer, May 1</t>
  </si>
  <si>
    <t>https://www.stonybrook.edu/commcms/online-masters-in-human-resource-management/curriculum/index.php?accordion=content-d19e909</t>
  </si>
  <si>
    <t>Optional internship, capstone course</t>
  </si>
  <si>
    <t>https://www.stonybrook.edu/alumni/informed/alumni-group-guide.php</t>
  </si>
  <si>
    <t>Alumni, identity, professional, student affinity groups</t>
  </si>
  <si>
    <t>http://stonybrook.edu/commcms/career-center/students/graduate_career_coaching.php</t>
  </si>
  <si>
    <t>$20, 876</t>
  </si>
  <si>
    <t>$20, 877</t>
  </si>
  <si>
    <t>$20, 878</t>
  </si>
  <si>
    <t>Temple University</t>
  </si>
  <si>
    <t>Explore Temple’s Schools and Colleges</t>
  </si>
  <si>
    <t>https://www.temple.edu/academics/degree-programs/human-resource-management-ms-bu-hrm-ms</t>
  </si>
  <si>
    <t>https://www.fox.temple.edu/academics/experiential-learning</t>
  </si>
  <si>
    <t>Internships, case studies, plant tours</t>
  </si>
  <si>
    <t>https://diversity.temple.edu/faculty-staff/affinity-groups</t>
  </si>
  <si>
    <t>Identity and culture groups</t>
  </si>
  <si>
    <t>https://careercenter.temple.edu/students/explore/career-coaching</t>
  </si>
  <si>
    <t>Delivery Model (100% online? Hybrid? )</t>
  </si>
  <si>
    <t>Delivery Model (Led by Full Time faculty or Part Time Adjuncts?)</t>
  </si>
  <si>
    <t>On-Campus Options - Are they offered to online students? (Y/N)</t>
  </si>
  <si>
    <t>GMAT/GRE Required? (Y/N)</t>
  </si>
  <si>
    <t>Accept Rate(%)</t>
  </si>
  <si>
    <t>Total Enrollment</t>
  </si>
  <si>
    <t>Deposit Required?</t>
  </si>
  <si>
    <t>Mitch Danies School of Business</t>
  </si>
  <si>
    <t xml:space="preserve">Purdue Online MBA </t>
  </si>
  <si>
    <t>https://business.purdue.edu/master-of-business/online-masters-in-business-administration/overview/home.php</t>
  </si>
  <si>
    <t>100% Online</t>
  </si>
  <si>
    <t>Full Time Faculty</t>
  </si>
  <si>
    <t xml:space="preserve">Y </t>
  </si>
  <si>
    <t>Application Deadlines - Fall Start
Application	Deadline	Decision Released
Priority Admission and Financial Aid Consideration Deadline	November 15	on a rolling basis
Late Priority Admission and Financial Aid Consideration Deadline	March 1	on a rolling basis
International Deadline - International applicants living outside the US/international applicants living within the US	April 1	on a rolling basis
Final Deadline - All domestic or current Purdue students	July 1	on a rolling basis</t>
  </si>
  <si>
    <t>https://www.purdue.edu/collaborationexpress/students/career-exploration.php</t>
  </si>
  <si>
    <t>Identity, hobby, clubs</t>
  </si>
  <si>
    <t>Indiana University - Bloomington</t>
  </si>
  <si>
    <t>Kelley Direct Online MBA</t>
  </si>
  <si>
    <t>https://kelley.iu.edu/programs/online/index.html</t>
  </si>
  <si>
    <t xml:space="preserve">Hybrid </t>
  </si>
  <si>
    <t>Full-Time Faculty</t>
  </si>
  <si>
    <t xml:space="preserve">N </t>
  </si>
  <si>
    <t>800+</t>
  </si>
  <si>
    <t>Rolling admissions with priority deadline November 1</t>
  </si>
  <si>
    <t>https://kelley.iu.edu/programs/online/</t>
  </si>
  <si>
    <t>Kelley On Campus (live case study competition), Kelley On Location (geographic immersion), optional global/domestic immersions with 12+ location options</t>
  </si>
  <si>
    <t>https://kelley.iu.edu/alumni/career/coaching/index.html  / https://careerexploration.indiana.edu/career-coaching/index.html </t>
  </si>
  <si>
    <t>Access to 133,000+ Kelley alumni network across 50 states and 33 countries</t>
  </si>
  <si>
    <t>Up to $25,000</t>
  </si>
  <si>
    <t>University of North Carolina at Chapel Hill</t>
  </si>
  <si>
    <t>Kenan-Flagler</t>
  </si>
  <si>
    <t>UNC Kenan-Flagler’s MBA | Online</t>
  </si>
  <si>
    <t>https://online.unc.edu/online-masters-programs/online-mba/</t>
  </si>
  <si>
    <t>Chapel Hill</t>
  </si>
  <si>
    <t>NC</t>
  </si>
  <si>
    <t>Hybrid - required in-person Summits</t>
  </si>
  <si>
    <t>N (if 5+ years experience); Y (if &lt;5 years experience)</t>
  </si>
  <si>
    <t>1,862 (as of 2024)</t>
  </si>
  <si>
    <t>18-36 (flexible)</t>
  </si>
  <si>
    <t>Rolling admissions with quarterly start dates (January, April, July, October)</t>
  </si>
  <si>
    <t>https://onlinemba.unc.edu/academics/</t>
  </si>
  <si>
    <t>Summits (in-person immersive experiences), Global Immersion Electives, Consulting projects, Study abroad opportunities</t>
  </si>
  <si>
    <t>https://careers.unc.edu/  / https://careers.unc.edu/students/schedule-an-appointment/ </t>
  </si>
  <si>
    <t>MBA Fellowships available (automatic consideration)</t>
  </si>
  <si>
    <t>University of Southern California - Marshall</t>
  </si>
  <si>
    <t>Master of Business Administration (MBA)</t>
  </si>
  <si>
    <t>https://www.marshall.usc.edu/programs/graduate-programs/mba-programs/online-mba</t>
  </si>
  <si>
    <t>Hybrid - one week on-campus residency</t>
  </si>
  <si>
    <t xml:space="preserve">Full-time faculty </t>
  </si>
  <si>
    <t>309-318</t>
  </si>
  <si>
    <t>3.20-3.30</t>
  </si>
  <si>
    <t>24+ (minimum 2 years required)</t>
  </si>
  <si>
    <t>198-301</t>
  </si>
  <si>
    <t>Round 1: January 15, Round 2: March 15, Round 3: May 15</t>
  </si>
  <si>
    <t>One-week on-campus residency with team-building activities, business problem solving, and networking</t>
  </si>
  <si>
    <t>https://students.marshall.usc.edu/current-students/career-services  / https://www.marshall.usc.edu/trojan-network/career-services </t>
  </si>
  <si>
    <t>USC Marshall and Leventhal Alumni Association ("The Network") with 450,000+ USC alumni worldwide</t>
  </si>
  <si>
    <t>Forte Fellowships, Veterans scholarships</t>
  </si>
  <si>
    <t>Carnegie Mellon University</t>
  </si>
  <si>
    <t>Tepper School of Business</t>
  </si>
  <si>
    <t>Tepper Online Hybrid MBA</t>
  </si>
  <si>
    <t>https://www.cmu.edu/tepper/programs/mba/program-options/online-hybrid/index.html</t>
  </si>
  <si>
    <t>Pittsburgh</t>
  </si>
  <si>
    <t>Hybrid</t>
  </si>
  <si>
    <t>Round 1: Oct 1, Round 2: Jan 6, Round 3: March 3, Round 4: May 5, Round 5: June 9</t>
  </si>
  <si>
    <t>Team-based projects, Access Weekends, professional workshops</t>
  </si>
  <si>
    <t>https://www.cmu.edu/career/about-us/meet-the-team/index.html </t>
  </si>
  <si>
    <t>Professional clubs, LGBTQIA+ support (6% of students), diversity partnerships</t>
  </si>
  <si>
    <t>Yes (Merit-based scholarships available, Yellow Ribbon program for veterans)</t>
  </si>
  <si>
    <t>92% (career change or promotion for Online Hybrid MBA alumni)</t>
  </si>
  <si>
    <t>$145,000 to $150,000</t>
  </si>
  <si>
    <t>$145,000 to $150,001</t>
  </si>
  <si>
    <t>$145,000 to $150,002</t>
  </si>
  <si>
    <t>University of Washington</t>
  </si>
  <si>
    <t>Foster</t>
  </si>
  <si>
    <t>Hybrid MBA</t>
  </si>
  <si>
    <t>https://foster.uw.edu/academics/degree-programs/hybrid-mba/</t>
  </si>
  <si>
    <t>Seattle</t>
  </si>
  <si>
    <t>WA</t>
  </si>
  <si>
    <t>159V/160Q</t>
  </si>
  <si>
    <t>92 months (7.6 years)</t>
  </si>
  <si>
    <t>~25%</t>
  </si>
  <si>
    <t>Round 1: Feb 3; Round 2: Apr 20; Round 3: Jun 15</t>
  </si>
  <si>
    <t>Applied Strategy Projects, Consulting &amp; Business Development Center, study abroad options Q4 &amp; Q6</t>
  </si>
  <si>
    <t>https://careers.uw.edu/schedule-an-appointment-with-a-career-coach/ </t>
  </si>
  <si>
    <t>Student Council, MBA Association, various professional and diversity clubs</t>
  </si>
  <si>
    <t>Merit-based scholarships available, up to $15,000 total</t>
  </si>
  <si>
    <t>91% change roles within 2 years</t>
  </si>
  <si>
    <t>Arizona State University</t>
  </si>
  <si>
    <t>W. P. Carey School of Business</t>
  </si>
  <si>
    <t>W. P. Carey Online MBA</t>
  </si>
  <si>
    <t>https://wpcarey.asu.edu/mba-programs/online</t>
  </si>
  <si>
    <t>N (Optional/Waived in some instances)</t>
  </si>
  <si>
    <t>3.29-3.33</t>
  </si>
  <si>
    <t>84 (7 years average)</t>
  </si>
  <si>
    <t>~32%</t>
  </si>
  <si>
    <t>124 (recent entering class)</t>
  </si>
  <si>
    <t>Rolling admissions with 5 start options annually</t>
  </si>
  <si>
    <t>STEM-designated program with real-world application focus</t>
  </si>
  <si>
    <t>https://career.eoss.asu.edu/  / https://wpcarey.asu.edu/undergraduate/career </t>
  </si>
  <si>
    <t>Yes ($2,000-$25,000 range available)</t>
  </si>
  <si>
    <t>92% (working or launching business within 4 months)</t>
  </si>
  <si>
    <t>University of Arizona</t>
  </si>
  <si>
    <t>Eller College of Business</t>
  </si>
  <si>
    <t>Online MBA</t>
  </si>
  <si>
    <t>https://eller.arizona.edu/programs/mba/online</t>
  </si>
  <si>
    <t>Tucson</t>
  </si>
  <si>
    <t>N (Currently Waived)</t>
  </si>
  <si>
    <t>14-48</t>
  </si>
  <si>
    <t>Rolling - 6 starts/year</t>
  </si>
  <si>
    <t>Optional global experience trips, consulting projects</t>
  </si>
  <si>
    <t>https://www.uagc.edu/student-experience/career-services  / https://eller.arizona.edu/programs/undergraduate/professional-development/career-coaching </t>
  </si>
  <si>
    <t>MBA Student Association, demographic groups</t>
  </si>
  <si>
    <t>#7</t>
  </si>
  <si>
    <t>Rochester Institute of Technology</t>
  </si>
  <si>
    <t>Saunders</t>
  </si>
  <si>
    <t>Business Administration–Online Executive</t>
  </si>
  <si>
    <t>https://www.rit.edu/study/business-administration-online-executive-mba</t>
  </si>
  <si>
    <t>Rochester</t>
  </si>
  <si>
    <t>12 full-time and 4 part-time instructors</t>
  </si>
  <si>
    <t>3.2-3.33</t>
  </si>
  <si>
    <t>184 months (minimum 72 months required)</t>
  </si>
  <si>
    <t>20 students (14 students per core course)</t>
  </si>
  <si>
    <t>31% (Online Executive MBA)</t>
  </si>
  <si>
    <t>20 students</t>
  </si>
  <si>
    <t>47 credits</t>
  </si>
  <si>
    <t>Rolling admissions (Early Decision deadlines: Sep 30, Nov 21, Final: Dec 1)</t>
  </si>
  <si>
    <t>International study trip (7-10 days), Applied client projects</t>
  </si>
  <si>
    <t>https://www.rit.edu/emcs/cdc</t>
  </si>
  <si>
    <t>10%-40% of tuition, median ~30% ($13,000)</t>
  </si>
  <si>
    <t>No. 9 (Online Executive MBA), No. 11 (Best Online MBA Programs)</t>
  </si>
  <si>
    <t>95% outcomes rate</t>
  </si>
  <si>
    <t>$58,000-$60,425</t>
  </si>
  <si>
    <t>University of Texas - Dallas</t>
  </si>
  <si>
    <t>Naveen Jindal</t>
  </si>
  <si>
    <t>Professional MBA Online</t>
  </si>
  <si>
    <t>https://mba.utdallas.edu/academics/professional-mba-online/</t>
  </si>
  <si>
    <t xml:space="preserve"> Richardson</t>
  </si>
  <si>
    <t xml:space="preserve">100% online </t>
  </si>
  <si>
    <t>Regular faculty</t>
  </si>
  <si>
    <t>Rolling admissions</t>
  </si>
  <si>
    <t>https://mba.utdallas.edu/faq/career-internship-and-job-placements/</t>
  </si>
  <si>
    <t>Internship opportunities, case competitions, company site visits, consulting projects</t>
  </si>
  <si>
    <t>Career services are standard; direct coaching links on UT Dallas site (not explicitly found in search results) *</t>
  </si>
  <si>
    <t>https://mba.utdallas.edu/mba-student-life/</t>
  </si>
  <si>
    <t>More than 70 student organizations in the Jindal School, including Product Base Club and various professional societies</t>
  </si>
  <si>
    <t>Merit-based Program Excellence Scholarship and Dean's Excellence Scholarship available</t>
  </si>
  <si>
    <t>92% within three months of graduation</t>
  </si>
  <si>
    <t>Included in $126K total compensation</t>
  </si>
  <si>
    <t xml:space="preserve">	$60,307</t>
  </si>
  <si>
    <t xml:space="preserve">University of Wisconsin </t>
  </si>
  <si>
    <t>College of Business</t>
  </si>
  <si>
    <t>MBA Consortium</t>
  </si>
  <si>
    <t>https://www.wisconsinonlinemba.org/</t>
  </si>
  <si>
    <t>Eau Claire</t>
  </si>
  <si>
    <t>WI</t>
  </si>
  <si>
    <t>N (Optional)</t>
  </si>
  <si>
    <t>3 countries represented</t>
  </si>
  <si>
    <t>Rolling (Priority: Aug 21 for Fall)</t>
  </si>
  <si>
    <t>Capstone course, elective specializations, real-world business applications</t>
  </si>
  <si>
    <t>https://www.wisc.edu/careers/</t>
  </si>
  <si>
    <t>Fellowships ($500-$1,000), Graduate Assistantships available</t>
  </si>
  <si>
    <t>University of Illinois - Urbana Champaign</t>
  </si>
  <si>
    <t>Gies College of Business</t>
  </si>
  <si>
    <t>iMBA (Online MBA)</t>
  </si>
  <si>
    <t>https://giesonline.illinois.edu/explore-programs/online-mba</t>
  </si>
  <si>
    <t>Urbana Champaign</t>
  </si>
  <si>
    <t>4,898+</t>
  </si>
  <si>
    <t>Rolling admissions (Jan, Mar, Aug, Oct starts)</t>
  </si>
  <si>
    <t>https://giesonline.illinois.edu/why-gies-online/beyond-the-classroom</t>
  </si>
  <si>
    <t>Global immersion trips, micro-immersion events, capstone projects, specialization capstones</t>
  </si>
  <si>
    <t>https://careercenter.illinois.edu/ </t>
  </si>
  <si>
    <t>Various student organizations and networking groups</t>
  </si>
  <si>
    <t>Yes (70% tuition scholarships available, need-based)</t>
  </si>
  <si>
    <t>Butler University</t>
  </si>
  <si>
    <t>Andre B. Lacy School of Business</t>
  </si>
  <si>
    <t xml:space="preserve">Online Master of Business Administration </t>
  </si>
  <si>
    <t>https://www.butler.edu/plus/program/online-mba-program/</t>
  </si>
  <si>
    <t>Indianapolis</t>
  </si>
  <si>
    <t>Full-time faculty</t>
  </si>
  <si>
    <t>Fall: July 15, Spring: December 1, Summer: May</t>
  </si>
  <si>
    <t>https://www.butler.edu/lacy-business/mba/curriculum-concentrations/</t>
  </si>
  <si>
    <t>Gateway Experience, Impact Practicum, Capstone experience, hands-on real-world experiences woven into nearly every class</t>
  </si>
  <si>
    <t>Career coaching services available on Butler site (inferred) *</t>
  </si>
  <si>
    <t>Federal Direct Loans available, private loans available</t>
  </si>
  <si>
    <t>University of Southern Indiana</t>
  </si>
  <si>
    <t>Romain College of Business</t>
  </si>
  <si>
    <t>Master of Business Administration Online</t>
  </si>
  <si>
    <t>https://online.usi.edu/degrees/business/mba/general/</t>
  </si>
  <si>
    <t>Evansville</t>
  </si>
  <si>
    <t>Both Options</t>
  </si>
  <si>
    <t>Full Time faculty</t>
  </si>
  <si>
    <t>N (waivers available)</t>
  </si>
  <si>
    <t>Rolling (6 start dates per year)</t>
  </si>
  <si>
    <t>Interactive and experiential classes focusing on management and leadership skills</t>
  </si>
  <si>
    <t>Career services available on university website (inferred) *</t>
  </si>
  <si>
    <t>Available</t>
  </si>
  <si>
    <t>Trine University</t>
  </si>
  <si>
    <t>College of Graduate and Professional Studies</t>
  </si>
  <si>
    <t>https://www.trine.edu/online/degrees/business-administration/online-mba-master-business-administration.aspx</t>
  </si>
  <si>
    <t>Angola</t>
  </si>
  <si>
    <t>N (recommended)</t>
  </si>
  <si>
    <t>79-92</t>
  </si>
  <si>
    <t>4,646+</t>
  </si>
  <si>
    <t>Internships/CPT from Day 1, Project-based learning, Experiential track</t>
  </si>
  <si>
    <t>Career services including coaching offered (inferred) *</t>
  </si>
  <si>
    <t>Miller College of Business</t>
  </si>
  <si>
    <t>Online Master of Business Administration</t>
  </si>
  <si>
    <t>https://www.bsu.edu/academics/collegesanddepartments/mba/masters-degree</t>
  </si>
  <si>
    <t>100% online</t>
  </si>
  <si>
    <t>80% employed when enrolled</t>
  </si>
  <si>
    <t> https://www.bsu.edu/careercenter</t>
  </si>
  <si>
    <t>Washington University - St. Louis</t>
  </si>
  <si>
    <t>Olin Business School</t>
  </si>
  <si>
    <t>Flex MBA</t>
  </si>
  <si>
    <t>https://olin.wustl.edu/programs/mbas/flex-mba/index.php</t>
  </si>
  <si>
    <t>St. Louis</t>
  </si>
  <si>
    <t>N - GMAT and GRE are not required</t>
  </si>
  <si>
    <t>53 months (4.4 years average work experience)</t>
  </si>
  <si>
    <t>103 (Full-time MBA class size, Flex MBA size not specified)</t>
  </si>
  <si>
    <t>Early: March 13, Priority: May 22, Final: July 24</t>
  </si>
  <si>
    <t>Immersive and experiential courses including weeklong intensives, weekend courses and global travel courses</t>
  </si>
  <si>
    <t>https://careercenter.wustl.edu/ </t>
  </si>
  <si>
    <t>Available - variety of options to help fund Flex MBA</t>
  </si>
  <si>
    <t>School of Business and Information Technology</t>
  </si>
  <si>
    <t>Online Master's Degree in Business Administration</t>
  </si>
  <si>
    <t>https://www.purdueglobal.edu/degree-programs/business/online-mba-master-business-administration/</t>
  </si>
  <si>
    <t>Full-time Faculty</t>
  </si>
  <si>
    <t>No minimum required</t>
  </si>
  <si>
    <t xml:space="preserve">25-29 </t>
  </si>
  <si>
    <t>42,431 (all programs)</t>
  </si>
  <si>
    <t>60 or 76</t>
  </si>
  <si>
    <t>Rolling admission</t>
  </si>
  <si>
    <t>Capstone project applying learning to real-world issues</t>
  </si>
  <si>
    <t>https://www.purdueglobal.edu/academic-support/career-services/ </t>
  </si>
  <si>
    <t>Clubs and honor societies for networking</t>
  </si>
  <si>
    <t>$26,220 - $33,212</t>
  </si>
  <si>
    <t>$29,100 - $36,860</t>
  </si>
  <si>
    <t>Yes - Military (17-30% reduction), Veterans (14% reduction), Indiana residents (10% reduction)</t>
  </si>
  <si>
    <t xml:space="preserve"> Iowa MBA</t>
  </si>
  <si>
    <t>https://tippie.uiowa.edu/iowa-mba</t>
  </si>
  <si>
    <t>Iowa City</t>
  </si>
  <si>
    <t>100.8 (8.4 years)</t>
  </si>
  <si>
    <t>36 (core courses)</t>
  </si>
  <si>
    <t>1,500+</t>
  </si>
  <si>
    <t>24-120</t>
  </si>
  <si>
    <t>Rolling (Priority: Aug 1 for Fall)</t>
  </si>
  <si>
    <t>Global Learning Opportunities, Business Solutions Center consulting projects, Hands-on Academy projects</t>
  </si>
  <si>
    <t>https://careers.uiowa.edu/</t>
  </si>
  <si>
    <t>https://tippie.uiowa.edu/</t>
  </si>
  <si>
    <t>30+ student organizations including business honor society, professional clubs</t>
  </si>
  <si>
    <t>Yes (merit-based)</t>
  </si>
  <si>
    <t>31% salary increase within 4 months</t>
  </si>
  <si>
    <t>Colleges not ranked on US news for Online MBA Program as of 09/07/25</t>
  </si>
  <si>
    <t>Curriculum (link)</t>
  </si>
  <si>
    <t>Co-Curricular Activities (yes/no)</t>
  </si>
  <si>
    <t>Co-Curricular Activities (link)</t>
  </si>
  <si>
    <t>Co-Curricular Activities (brief explanation)</t>
  </si>
  <si>
    <t>Study Abroad Opportunities (yes/no)</t>
  </si>
  <si>
    <t>Study Abroad Opportunities (link)</t>
  </si>
  <si>
    <t>Study Abroad Opportunities (brief explanation)</t>
  </si>
  <si>
    <t>City Trek Opportunities (yes/no)</t>
  </si>
  <si>
    <t>City Trek Opportunities (link)</t>
  </si>
  <si>
    <t>City Trek Opportunities (brief description)</t>
  </si>
  <si>
    <t>Experiential Learning Courses / Opportunities (link)</t>
  </si>
  <si>
    <t>Co-op / Internship Opportunities (Yes/No)</t>
  </si>
  <si>
    <t>Co-op / Internship Opportunities (Link)</t>
  </si>
  <si>
    <t>Co-op / Internship Opportunities (Brief Description)</t>
  </si>
  <si>
    <t>Online/Hybrid Option Available? (Yes/No)</t>
  </si>
  <si>
    <t>Online/Hybrid Option Available? (Link)</t>
  </si>
  <si>
    <t>Scholarship Offers (yes/no)</t>
  </si>
  <si>
    <t>ROI% In-State</t>
  </si>
  <si>
    <t>ROI% Out of State</t>
  </si>
  <si>
    <t>ROI% International</t>
  </si>
  <si>
    <t>Master of Science in Accounting</t>
  </si>
  <si>
    <t>https://business.purdue.edu/masters/programs/ms-accounting/home.php</t>
  </si>
  <si>
    <t>12 - 48 months</t>
  </si>
  <si>
    <t>60-70</t>
  </si>
  <si>
    <t>January, August</t>
  </si>
  <si>
    <t xml:space="preserve">CPA focus for public and corporate accounting and a CPA/CMA track
designed for specialized corporate accounting. </t>
  </si>
  <si>
    <t>https://business.purdue.edu/masters/programs/ms-accounting/curriculum.php</t>
  </si>
  <si>
    <t>https://business.purdue.edu/masters/student-experience/home.php</t>
  </si>
  <si>
    <t>Case compeitions, alumni networking, workshops, consulting projects</t>
  </si>
  <si>
    <t>Previous trip locations include Europe, South America and Central Asia.</t>
  </si>
  <si>
    <t>Gettysburg Experience, Washington Campus</t>
  </si>
  <si>
    <t>Becker Fast Pass CPA prep course</t>
  </si>
  <si>
    <t>https://business.purdue.edu/careers/</t>
  </si>
  <si>
    <t>Career Fairs</t>
  </si>
  <si>
    <t xml:space="preserve">https://business.purdue.edu/careers/ </t>
  </si>
  <si>
    <t>101-150</t>
  </si>
  <si>
    <t>Master of Science in Accounting with Data and Analytics</t>
  </si>
  <si>
    <t>https://kelley.iu.edu/programs/ms-accounting/index.html</t>
  </si>
  <si>
    <t>August</t>
  </si>
  <si>
    <t>Electives in assurance, risk management, taxation, and data analytics</t>
  </si>
  <si>
    <t>https://kelley.iu.edu/programs/ms-accounting/academics/curriculum/index.html</t>
  </si>
  <si>
    <t>Local consulting, Optional Becker Professional Education CPA Review Course</t>
  </si>
  <si>
    <t>https://kelley.iu.edu/undergraduate/academics/workshops/investment-management.html</t>
  </si>
  <si>
    <t>Including trips to New York and Washington D.C.​ apart of the “Kelley Investment Banking/Investment Management”</t>
  </si>
  <si>
    <t xml:space="preserve">Local Field Consulting, Deloitte Assurance Learning Lab Course
, The Washington Campus Accounting and Public Policy Course
</t>
  </si>
  <si>
    <t>https://kelley.iu.edu/programs/ms-accounting/careers-and-recruiting/recruiting.html</t>
  </si>
  <si>
    <t xml:space="preserve">Real-world experience within curriculum </t>
  </si>
  <si>
    <t>https://kelley.iu.edu/programs/ms-accounting/careers-and-recruiting/index.html</t>
  </si>
  <si>
    <t xml:space="preserve">Master of Science in Accountancy </t>
  </si>
  <si>
    <t>https://giesbusiness.illinois.edu/msa</t>
  </si>
  <si>
    <t xml:space="preserve"> -</t>
  </si>
  <si>
    <t>June, January</t>
  </si>
  <si>
    <t>Courses in financial reporting, audit, and tax, and can choose electives in Data Analytics, Taxation, Financial Reporting, etc. to customize their learning</t>
  </si>
  <si>
    <t>https://giesbusiness.illinois.edu/msa/curriculum</t>
  </si>
  <si>
    <t>https://giesbusiness.illinois.edu/accountancy/vita-program/vita-program-for-students</t>
  </si>
  <si>
    <t>Volunteer Income Tax Assistance program</t>
  </si>
  <si>
    <t>Volunteer Income Tax Assistance (VITA) program, CPA review courses integrated in the program</t>
  </si>
  <si>
    <t>https://giesbusiness.illinois.edu/mas/mas-Accy-Opportunities</t>
  </si>
  <si>
    <t>Enrichment program</t>
  </si>
  <si>
    <t>https://giesonline.illinois.edu/explore-programs/online-masters-in-accounting?source=adwords&amp;utm_medium=paid&amp;&amp;utm_source=google&amp;utm_campaign=imsa_fy26&amp;scid=4060672&amp;kw=39541633&amp;pub_cr_id=764000113174&amp;device=c&amp;network=g&amp;targetid=kwd-330482540619&amp;loc_interest_ms=&amp;loc_physical_ms=9016722&amp;tc=CjwKCAjwq9rFBhAIEiwAGVAZP6lpvLyeUQ7K5j3Ij1uTBX4NTWkgDTCfSOEnImEocsNpZOfxOf8LQBoCZXkQAvD_BwE&amp;rl_key=80e0063ca435ec7258c2104fd1dd94f5&amp;gad_source=1&amp;gad_campaignid=14485217259&amp;gbraid=0AAAAABJR7BOgWSjyeDc0TKbU00V62dEuG&amp;gclid=CjwKCAjwq9rFBhAIEiwAGVAZP6lpvLyeUQ7K5j3Ij1uTBX4NTWkgDTCfSOEnImEocsNpZOfxOf8LQBoCZXkQAvD_BwE</t>
  </si>
  <si>
    <t>University of Notre Dame</t>
  </si>
  <si>
    <t>Mendoza College of Business</t>
  </si>
  <si>
    <t>Master of Science in Accountancy</t>
  </si>
  <si>
    <t>https://mendoza.nd.edu/graduate-programs/accountancy-msa/</t>
  </si>
  <si>
    <t>South Bend</t>
  </si>
  <si>
    <t>August, January</t>
  </si>
  <si>
    <t>Tracks - Assurance &amp; Advisory Services, Tax Services, or Data Analytics, Deal Advisory​, Traditional MSA</t>
  </si>
  <si>
    <t>https://mendoza.nd.edu/graduate-programs/accountancy-msa/accountancy-curriculum/</t>
  </si>
  <si>
    <t>Beta Alpha Psi, MSA Student Association, Tax Assistance Program​</t>
  </si>
  <si>
    <t>Accounting Immersion Program, Habitat for Humanity</t>
  </si>
  <si>
    <t>Many networking opportunities with past alumni</t>
  </si>
  <si>
    <t>University of Wisconsin</t>
  </si>
  <si>
    <t>Wisconsin School of Business</t>
  </si>
  <si>
    <t>Master of Science in Accounting and Business Analysis</t>
  </si>
  <si>
    <t>https://business.wisc.edu/graduate/masters/accounting-business-analysis/</t>
  </si>
  <si>
    <t>Madison</t>
  </si>
  <si>
    <t xml:space="preserve">August </t>
  </si>
  <si>
    <t>Two career pathways: (1) Accounting, Assurance, &amp; Advisory or (2) Tax || ive emerging disciplines: Risk Management, Emerging Technology, Sustainability, M&amp;A Deal Advisory, and Wealth Management</t>
  </si>
  <si>
    <t>https://business.wisc.edu/graduate/masters/accounting-business-analysis/curriculum/</t>
  </si>
  <si>
    <t xml:space="preserve">Beta Alpha Psi, case competitions, </t>
  </si>
  <si>
    <t>Chicago</t>
  </si>
  <si>
    <t>Students can engage in hands-on consulting and data analysis projects</t>
  </si>
  <si>
    <t xml:space="preserve">https://business.wisc.edu/graduate/masters/accounting-business-analysis/ </t>
  </si>
  <si>
    <t>Northern Illinois University</t>
  </si>
  <si>
    <t>Master of Accounting Science</t>
  </si>
  <si>
    <t>https://www.cob.niu.edu/academics/accountancy/master-of-accounting-science/index.shtml</t>
  </si>
  <si>
    <t>DeKalb</t>
  </si>
  <si>
    <t>Leadership Focus in Financial Reporting &amp; Assurance, Managerial Accounting Systems, or Taxation | Internal Audit focus: it is an IIA-endorsed Internal Auditing Education Partnership program</t>
  </si>
  <si>
    <t>https://catalog.niu.edu/preview_program.php?catoid=55&amp;poid=14141</t>
  </si>
  <si>
    <t>Including professional development, leadership opportunities, and internships</t>
  </si>
  <si>
    <t xml:space="preserve">https://www.cob.niu.edu/experiences/study-abroad/index.shtml </t>
  </si>
  <si>
    <t>Programs range from two weeks to one month abroad and take place after the spring semester or between the fall and spring semesters</t>
  </si>
  <si>
    <t xml:space="preserve">Internship and Leadership Opportunities </t>
  </si>
  <si>
    <t>https://www.cob.niu.edu/academics/accountancy/internship-program/index.shtml</t>
  </si>
  <si>
    <t xml:space="preserve">Internship program </t>
  </si>
  <si>
    <t>https://www.cob.niu.edu/academics/accountancy/advising.shtml</t>
  </si>
  <si>
    <t>https://www.cob.niu.edu/academics/accountancy/master-of-accountancy/index.shtml</t>
  </si>
  <si>
    <t xml:space="preserve">	$25,750</t>
  </si>
  <si>
    <t xml:space="preserve">	$25,751</t>
  </si>
  <si>
    <t>Avg GMAT</t>
  </si>
  <si>
    <t>Avg GRE</t>
  </si>
  <si>
    <t>Avg. Undergraduate GPA</t>
  </si>
  <si>
    <t>Avg Student Age</t>
  </si>
  <si>
    <t>In-State Tuition Per Credit (New 2026)</t>
  </si>
  <si>
    <t>Out-of-State Tuition Per Credit (New 2026)</t>
  </si>
  <si>
    <t>International Tuition Per Credit (New 2026)</t>
  </si>
  <si>
    <t>In-State Tuition Total (New 2026)</t>
  </si>
  <si>
    <t>Out-of-State Tuition Total (New 2026)</t>
  </si>
  <si>
    <t>International Tuition Total (New 2026)</t>
  </si>
  <si>
    <t>Tuition Source URL</t>
  </si>
  <si>
    <t>Confidence</t>
  </si>
  <si>
    <t>Master of Science in Business Analytics and Information Management</t>
  </si>
  <si>
    <t>https://business.purdue.edu/masters/programs/ms-business-analytics-and-information-management/home.php</t>
  </si>
  <si>
    <t>12-24 months</t>
  </si>
  <si>
    <t>Supply chain, finance, or marketing analytics</t>
  </si>
  <si>
    <t>https://business.purdue.edu/masters/programs/ms-business-analytics-and-information-management/curriculum.php</t>
  </si>
  <si>
    <t>https://business.purdue.edu/masters/programs/ms-business-analytics-and-information-management/experience/future-edelman.php</t>
  </si>
  <si>
    <t xml:space="preserve">Future Edelman Impact Award contest, student organizations, case competitions </t>
  </si>
  <si>
    <t>https://business.purdue.edu/masters/programs/ms-business-analytics-and-information-management/experience/      https://business.purdue.edu/experiential-learning/home.php</t>
  </si>
  <si>
    <t xml:space="preserve">Industry Practicum, various consulting, </t>
  </si>
  <si>
    <t>Career services, alumni mentoring</t>
  </si>
  <si>
    <t xml:space="preserve">#2 in Data Analytics, #2 in Information Systems Management </t>
  </si>
  <si>
    <t>https://business.purdue.edu/masters/programs/ms-business-analytics-and-information-management/tuition-and-roi.php</t>
  </si>
  <si>
    <t>HIGH</t>
  </si>
  <si>
    <t>University of Texas - Austin</t>
  </si>
  <si>
    <t>McCombs School of Business</t>
  </si>
  <si>
    <t>https://www.mccombs.utexas.edu/graduate/specialized-masters/ms-business-analytics/ms-business-analytics-on-campus/</t>
  </si>
  <si>
    <t>Austin</t>
  </si>
  <si>
    <t>July</t>
  </si>
  <si>
    <t>General MSBA Curriculum
Financial Analysis Elective Track
Supply Chain &amp; Marketing Elective Track</t>
  </si>
  <si>
    <t>https://www.mccombs.utexas.edu/graduate/specialized-masters/ms-business-analytics/ms-business-analytics-on-campus/academics/curriculum/</t>
  </si>
  <si>
    <t>https://www.mccombs.utexas.edu/graduate/specialized-masters/ms-business-analytics/ms-business-analytics-on-campus/student-experience/</t>
  </si>
  <si>
    <t>Opportunities for networking, mentorship, and professional development through alumni interactions, coffee chats, and industry engagement​, Analytics Hackathon and case competitions</t>
  </si>
  <si>
    <t>https://www.mccombs.utexas.edu/centers-initiatives/</t>
  </si>
  <si>
    <t>Includes capstone projects and practical experiences with real-world</t>
  </si>
  <si>
    <t>https://www.mccombs.utexas.edu/graduate/specialized-masters/ms-business-analytics/ms-business-analytics-on-campus/career-management/</t>
  </si>
  <si>
    <t>Job board, career discovery</t>
  </si>
  <si>
    <t>https://www.mccombs.utexas.edu/graduate/specialized-masters/ms-business-analytics/ms-business-analytics-online/</t>
  </si>
  <si>
    <t>#27 in Big Data Management</t>
  </si>
  <si>
    <t>University of Minnesota</t>
  </si>
  <si>
    <t>Carlson School of Management</t>
  </si>
  <si>
    <t>https://carlsonschool.umn.edu/graduate/masters/business-analytics</t>
  </si>
  <si>
    <t>Minneapolis</t>
  </si>
  <si>
    <t>MN</t>
  </si>
  <si>
    <t>3.54(median)</t>
  </si>
  <si>
    <t>September</t>
  </si>
  <si>
    <t xml:space="preserve">Two Tracks: Analytics for Business &amp; AI in Business </t>
  </si>
  <si>
    <t>https://carlsonschool.umn.edu/graduate/masters/business-analytics/curriculum</t>
  </si>
  <si>
    <t>https://carlsonschool.umn.edu/graduate/masters/business-analytics/student-life</t>
  </si>
  <si>
    <t>Analytics Hackathon, case competitions, Data Analytics Club</t>
  </si>
  <si>
    <t>https://carlsonschool.umn.edu/experience/global-learning</t>
  </si>
  <si>
    <t xml:space="preserve">Instructor led programs, Partner University Business Exchange, Study Center </t>
  </si>
  <si>
    <t>https://carlsonschool.umn.edu/experience</t>
  </si>
  <si>
    <t>Includes networking trips to major business hubs​ through alumni(limited)</t>
  </si>
  <si>
    <t>https://carlsonschool.umn.edu/experience/experiential-learning</t>
  </si>
  <si>
    <t xml:space="preserve">programs: Funds Enterprise
Brand Enterprise
Consulting Enterprise
Ventures Enterprise </t>
  </si>
  <si>
    <t>https://carlsonschool.umn.edu/graduate/masters/business-analytics/careers/employment-statistics</t>
  </si>
  <si>
    <t>School-facilitated recruiting activities</t>
  </si>
  <si>
    <t>https://carlsonschool.umn.edu/graduate/masters/business-analytics/careers.       https://carlsonschool.umn.edu/career-services</t>
  </si>
  <si>
    <t>#31 in Information Systems</t>
  </si>
  <si>
    <t>https://carlsonschool.umn.edu/graduate/masters/business-analytics/tuition-aid</t>
  </si>
  <si>
    <t>Georgia Institute of Technology</t>
  </si>
  <si>
    <t>Scheller College of Business</t>
  </si>
  <si>
    <t>https://www.analytics.gatech.edu/</t>
  </si>
  <si>
    <t xml:space="preserve">GA </t>
  </si>
  <si>
    <t>Tracks: Analytics Tools Track, Business Analytics Track, Computational Data Analytics Track</t>
  </si>
  <si>
    <t>https://www.analytics.gatech.edu/curriculum/msa-curriculum#:~:text=The%20MS%20Analytics%20curriculum%20is,integrating%20these%20interdisciplinary%20skills%20to</t>
  </si>
  <si>
    <t>1. https://www.analytics.gatech.edu/prospective-students                     2.  https://www.gatech.edu/life/student-activities</t>
  </si>
  <si>
    <t>Includes networking events, technical interview prep, analytics career exploration panels, and professional development</t>
  </si>
  <si>
    <t>https://ea.oie.gatech.edu/graduate-student-international-opportunities</t>
  </si>
  <si>
    <t>Students have opportunities for international residencies and global experiences​</t>
  </si>
  <si>
    <t>Includes networking trips to major business hubs​</t>
  </si>
  <si>
    <t>https://www.analytics.gatech.edu/prospective-students</t>
  </si>
  <si>
    <t>Career Workshop Series, Women’s Networking Event Keynote, Carlson Analytics Lab​</t>
  </si>
  <si>
    <t>https://www.analytics.gatech.edu/inside-our-program/career-services</t>
  </si>
  <si>
    <t>Analytics fair, meet the firms</t>
  </si>
  <si>
    <t>Yes, professional development funding for conferences is available​</t>
  </si>
  <si>
    <t>#8 Data Analytics</t>
  </si>
  <si>
    <t>51-60</t>
  </si>
  <si>
    <t>https://www.analytics.gatech.edu/tuition-funding</t>
  </si>
  <si>
    <t>https://wpcarey.asu.edu/masters-programs/business-analytics</t>
  </si>
  <si>
    <t>9 or 16</t>
  </si>
  <si>
    <t>30 or 43</t>
  </si>
  <si>
    <t xml:space="preserve">Tracks: Big Data, Cloud Computing &amp; Consulting, Marketing Analytics, Fintech, Supply Chain Analytics </t>
  </si>
  <si>
    <t>https://wpcarey.asu.edu/masters-programs/business-analytics#academics</t>
  </si>
  <si>
    <t>Business Analytics Student Association, Analytics Case Competition, hackathon, innovation challenges</t>
  </si>
  <si>
    <t>possibly to Arizona or Silicon Valley through alumni connections</t>
  </si>
  <si>
    <t>Through summer internships and applied projects</t>
  </si>
  <si>
    <t xml:space="preserve">https://wpcarey.asu.edu/masters-programs/business-analytics/experience </t>
  </si>
  <si>
    <t>Career fairs and career services</t>
  </si>
  <si>
    <t>https://wpcarey.asu.edu/masters-programs/business-analytics/experience</t>
  </si>
  <si>
    <t>https://asuonline.asu.edu/online-degree-programs/graduate/master-science-business-analytics/</t>
  </si>
  <si>
    <t>1333 or $1325</t>
  </si>
  <si>
    <t>2133 or $2069</t>
  </si>
  <si>
    <t>2233 or $2162</t>
  </si>
  <si>
    <t>$40000 or $57,000</t>
  </si>
  <si>
    <t>$64000 or $89,000</t>
  </si>
  <si>
    <t>$67000 or $93,000</t>
  </si>
  <si>
    <t>#19 in Information Management</t>
  </si>
  <si>
    <t>N/A</t>
  </si>
  <si>
    <t>https://wpcarey.asu.edu/masters-programs/business-analytics/ms-ba-cost-aid</t>
  </si>
  <si>
    <t>New York University</t>
  </si>
  <si>
    <t>Stern School of Business</t>
  </si>
  <si>
    <t>Master of Science in Data Analytics and Business Computing</t>
  </si>
  <si>
    <t>https://stern.shanghai.nyu.edu/en/program/ms-data-analytics-business-computing</t>
  </si>
  <si>
    <t>New York</t>
  </si>
  <si>
    <t>10-11 months</t>
  </si>
  <si>
    <t>May</t>
  </si>
  <si>
    <t>Coursework: Business Communication, Statisitcs &amp; Data Analysis, Data Visualization, Operations Management, Dealing with Data &amp; Introduction to Python Programming, Stochastic Modeling and Simulation</t>
  </si>
  <si>
    <t>https://stern.shanghai.nyu.edu/en/program/ms-data-analytics-business-computing/curriculum</t>
  </si>
  <si>
    <t>Including capstone projects and collaboration with industry partners</t>
  </si>
  <si>
    <t>https://stern.shanghai.nyu.edu/en/community</t>
  </si>
  <si>
    <t>New York City and Shanghai</t>
  </si>
  <si>
    <t>https://www.stern.nyu.edu/programs-admissions/full-time-mba/academics/experiential-learning</t>
  </si>
  <si>
    <t>capstone project with real world, investment funds, Board Fellows Program, Endless Frontier Labs, Consulting Lab: Branding + Innovation</t>
  </si>
  <si>
    <t>https://shanghai.nyu.edu/academics/graduate/masters-programs#:~:text=Our%20programs%20consist%20of%20full,the%20Chinese%20Ministry%20of%20Education</t>
  </si>
  <si>
    <t xml:space="preserve">Practice-based learning, and time to extend program for co-op or internship </t>
  </si>
  <si>
    <t>https://stern.shanghai.nyu.edu/en/experience/careers/services-and-resources</t>
  </si>
  <si>
    <t>MEDIUM</t>
  </si>
  <si>
    <t>University of California Los Angeles</t>
  </si>
  <si>
    <t>Anderson School of Management</t>
  </si>
  <si>
    <t>https://www.anderson.ucla.edu/degrees/master-of-science-in-business-analytics-msba</t>
  </si>
  <si>
    <t xml:space="preserve">statistical foundaiton of analytics, python workshop, optimization, SQL &amp; Big Data Management, ML for Decision Making </t>
  </si>
  <si>
    <t>https://www.anderson.ucla.edu/degrees/master-of-science-in-business-analytics/academics</t>
  </si>
  <si>
    <t>https://www.anderson.ucla.edu/degrees/master-of-science-in-business-analytics/academics#career</t>
  </si>
  <si>
    <t>Includes industry seminars, analytics competitions, and career development workshops, Capstone Analytics Project, Anderson Data Analytics Club, Technology Management Association</t>
  </si>
  <si>
    <t>https://www.anderson.ucla.edu/degrees/master-of-science-in-business-analytics/student-life</t>
  </si>
  <si>
    <t>Includes a Capstone Applied Analytics Project, Analytics in Action course, and summer internships</t>
  </si>
  <si>
    <t>Summer internships, career fairs, workshops</t>
  </si>
  <si>
    <t>https://www.anderson.ucla.edu/degrees/master-of-science-in-business-analytics/holistic-career-services</t>
  </si>
  <si>
    <t>https://vertexaisearch.cloud.google.com/grounding-api-redirect/AUZIYQG3qJgi_PbY8DIMp08G3AHPUA-H7QjXGS40yV0gMSq5IEshBRrfzzMcON6z16QrgSvEDqzyNpylMTk4A3JYbyQJqRRGxz-efc5mVKZs1Q-ouzZMJ19CdBJfpIvy5Hmgrf49P7fUCN32tQ8-RJucXXj47wAQa8G8lcHikg==</t>
  </si>
  <si>
    <t>https://www.marshall.usc.edu/programs/graduate-programs/specialized-masters/ms-business-analytics</t>
  </si>
  <si>
    <t>Computer Science; Statistics, Machine Learning, Optimization; and Business Strategy.</t>
  </si>
  <si>
    <t>https://www.marshall.usc.edu/programs/graduate-programs/specialized-masters/ms-business-analytics/meet-our-students</t>
  </si>
  <si>
    <t>MS Business Analytics Student Association, real-world case competitions, workshops, and industry events</t>
  </si>
  <si>
    <t>Case competitions(Marshall Case Competition Program), hands-on projects, and internships</t>
  </si>
  <si>
    <t>Internship within coursework</t>
  </si>
  <si>
    <t>$2534 or $2548</t>
  </si>
  <si>
    <t>$2534 or $2549</t>
  </si>
  <si>
    <t>$2534 or $2550</t>
  </si>
  <si>
    <t xml:space="preserve">#47 in Big Data Management, </t>
  </si>
  <si>
    <t>https://arr.usc.edu/tuition-and-fees/</t>
  </si>
  <si>
    <t xml:space="preserve"> </t>
  </si>
  <si>
    <t>Master of Science in Finance</t>
  </si>
  <si>
    <t>https://business.purdue.edu/masters/programs/ms-finance/home.php</t>
  </si>
  <si>
    <t>320-322</t>
  </si>
  <si>
    <t>Dec-48</t>
  </si>
  <si>
    <t>Tracks: Corporate Finance, Investments, Business Analytics/Fintech, and Financial Consulting</t>
  </si>
  <si>
    <t>https://business.purdue.edu/masters/programs/ms-finance/curriculum.php</t>
  </si>
  <si>
    <t>Case competitions, student finance clubs, and networking events team-based learning and offers co-curricular opportunities</t>
  </si>
  <si>
    <t>Chicago, Indianapolis and New York City</t>
  </si>
  <si>
    <t>https://business.purdue.edu/masters/programs/ms-finance/student-experience/home.php</t>
  </si>
  <si>
    <t>Case Competitions, Student Managed Investment Fund, Student Managed Venture Fund, Professional Development &amp; Networking, Practicum</t>
  </si>
  <si>
    <t xml:space="preserve">Networking opportunities </t>
  </si>
  <si>
    <t>2% higher</t>
  </si>
  <si>
    <t>https://giesbusiness.illinois.edu/msf</t>
  </si>
  <si>
    <t>2.25 years</t>
  </si>
  <si>
    <t>Asset Management Specialization
Corporate Finance Specialization
Finance Research Specialization
Quantitative Finance Specialization
Data Analytics and Fintech Specialization</t>
  </si>
  <si>
    <t>https://giesbusiness.illinois.edu/msf/curriculum</t>
  </si>
  <si>
    <t>https://giesbusiness.illinois.edu/experience/student-organizations</t>
  </si>
  <si>
    <t>MSF Practicum, many student orgs</t>
  </si>
  <si>
    <t>https://giesbusiness.illinois.edu/experience/gies-global-programs</t>
  </si>
  <si>
    <t>many international trips</t>
  </si>
  <si>
    <t xml:space="preserve">https://giesbusiness.illinois.edu/experience/gies-global-programs </t>
  </si>
  <si>
    <t>Chicago Illini Center and trips to Chicago &amp; NY</t>
  </si>
  <si>
    <t xml:space="preserve">business consulting, </t>
  </si>
  <si>
    <t>https://giesbusiness.illinois.edu/experience/career-professional-development</t>
  </si>
  <si>
    <t>International &amp; local opportunties</t>
  </si>
  <si>
    <t>5% lower</t>
  </si>
  <si>
    <t>Not Found</t>
  </si>
  <si>
    <t>Carey Business School</t>
  </si>
  <si>
    <t>https://carey.jhu.edu/programs/master-science-programs/ms-finance-full-time</t>
  </si>
  <si>
    <t>Baltimore</t>
  </si>
  <si>
    <t>MD</t>
  </si>
  <si>
    <t>&lt;12</t>
  </si>
  <si>
    <t>9 or 12 or 15</t>
  </si>
  <si>
    <t>30 or 36</t>
  </si>
  <si>
    <t>Financial econometrics, prep for CFA exam</t>
  </si>
  <si>
    <t>https://carey.jhu.edu/programs/master-science-programs/ms-finance-full-time#:~:text=Ekeocha%20(MSF%20%E2%80%9918).-,Curriculum,-At%20Johns%20Hopkins</t>
  </si>
  <si>
    <t>https://carey.jhu.edu/student-experience/experiential-learning/experiential-co-curriculars</t>
  </si>
  <si>
    <t>Case competitions, commercialization academy, Hexcite, MINT Impact Investing program, nonprofit boards, student impact teams, student orgs, student venture showcase, venture strategy program</t>
  </si>
  <si>
    <t>https://carey.jhu.edu/student-experience/experiential-learning/experiential-courses/global-immersion-program</t>
  </si>
  <si>
    <t>Chile, virtual with Peru, Milan, UK, Germany, Peru, India</t>
  </si>
  <si>
    <t>https://imagine.jhu.edu/blog/2025/09/02/mba-finance-trek-nyc-2025/</t>
  </si>
  <si>
    <t>NYC, Seattle</t>
  </si>
  <si>
    <t>Case competitions, Commericalization Academy, Hexcite, MINT Impact Investing program, Venture strategy program</t>
  </si>
  <si>
    <t>https://carey.jhu.edu/student-experience/career-life-design</t>
  </si>
  <si>
    <t>1% higher</t>
  </si>
  <si>
    <t>MS in Quantitative Finance</t>
  </si>
  <si>
    <t>https://stern.shanghai.nyu.edu/en/program/ms-quantitative-finance</t>
  </si>
  <si>
    <t xml:space="preserve">New York City </t>
  </si>
  <si>
    <t>Sixty</t>
  </si>
  <si>
    <t>12 or 20</t>
  </si>
  <si>
    <t>Summer term</t>
  </si>
  <si>
    <t xml:space="preserve">Focus on tree critical areas of fintech  - tech transformation, firm adaptation and innovation, and enabling technologies - critical for emerging leadership roles in the space. </t>
  </si>
  <si>
    <t>https://www.stern.nyu.edu/programs-admissions/masters-programs/ms-fintech/overview-academics/course-index</t>
  </si>
  <si>
    <t>https://www.stern.nyu.edu/programs-admissions/masters-programs/ms-fintech/overview-academics/blended-learning-capstone</t>
  </si>
  <si>
    <t>Blended learning, capstone project</t>
  </si>
  <si>
    <t>https://www.stern.nyu.edu/programs-admissions/masters-programs/ms-fintech/global-network</t>
  </si>
  <si>
    <t xml:space="preserve">international network, rotating locations </t>
  </si>
  <si>
    <t>Consulting Lab: Branding + Innovation, Board Fellows Program</t>
  </si>
  <si>
    <t>https://www.stern.nyu.edu/programs-admissions/masters-programs/ms-fintech/overview-academics/comprehensive-student-support</t>
  </si>
  <si>
    <t>https://www.stern.nyu.edu/programs-admissions/masters-programs/ms-fintech/overview-academics/format-and-schedule</t>
  </si>
  <si>
    <t>132% higher</t>
  </si>
  <si>
    <t>https://www.mccombs.utexas.edu/graduate/specialized-masters/ms-finance/</t>
  </si>
  <si>
    <t>324 (V+Q)</t>
  </si>
  <si>
    <t>Between 10 and 11</t>
  </si>
  <si>
    <t>June/July</t>
  </si>
  <si>
    <t>Practicum in finance</t>
  </si>
  <si>
    <t>https://www.mccombs.utexas.edu/graduate/specialized-masters/ms-finance/academics/curriculum/</t>
  </si>
  <si>
    <t>https://www.mccombs.utexas.edu/graduate/mba/full-time-mba/student-experience/student-organizations/</t>
  </si>
  <si>
    <t>Clubs, social orgs, affinity orgs, leadership orgs</t>
  </si>
  <si>
    <t>https://www.mccombs.utexas.edu/alumni/new-york/wsfm-leadership-program/</t>
  </si>
  <si>
    <t>New York, Wall Street</t>
  </si>
  <si>
    <t>https://www.mccombs.utexas.edu/graduate/specialized-masters/ms-finance/student-experience/</t>
  </si>
  <si>
    <t>Workshops taught by industry experts, networking events (incl. MS Advisory Council board), mock interviews with corporate partners, guest speakers, career discovery events, career fairs</t>
  </si>
  <si>
    <t>https://www.mccombs.utexas.edu/graduate/specialized-masters/ms-finance/career-management/</t>
  </si>
  <si>
    <t>3% lower</t>
  </si>
  <si>
    <t>93% within 6 months of graduation</t>
  </si>
  <si>
    <t>School of Operations Research and Information Engineering</t>
  </si>
  <si>
    <t>Financial Engineering Concentration</t>
  </si>
  <si>
    <t>https://www.engineering.cornell.edu/orie/meng/financial-engineering-concentration/</t>
  </si>
  <si>
    <t>Ithaca</t>
  </si>
  <si>
    <t>Trading, quntitative portfolio management, financial data science/fintech, financial risk management</t>
  </si>
  <si>
    <t>https://www.engineering.cornell.edu/orie/meng/financial-engineering-concentration/student-experience/</t>
  </si>
  <si>
    <t>Practitioner-taught curriculum, industry projects, professional conferences, and high-impact networking events.</t>
  </si>
  <si>
    <t>https://www.engineering.cornell.edu/study-abroad/</t>
  </si>
  <si>
    <t>Exchange programs at University of Cantabria
University of Comillas-ICAI
Technical University of Denmark
Hong Kong University of Science and Technology
Technion: Israel Institute of Technology</t>
  </si>
  <si>
    <t>Professional development programs, financial engineering projects</t>
  </si>
  <si>
    <t>https://www.engineering.cornell.edu/selander-center-engineering-leadership/professional-coaching/</t>
  </si>
  <si>
    <t>3% higher</t>
  </si>
  <si>
    <t>MS in Finance</t>
  </si>
  <si>
    <t>https://www.bu.edu/questrom/graduate-programs/specialty-masters-programs/ms-in-finance/</t>
  </si>
  <si>
    <t>10 or 9</t>
  </si>
  <si>
    <t>The core curriculum provides the top three courses highlighted by leading MS Finance graduates in the Financial Times and align with key topics from the Chartered Financial Analyst (CFA) Program.</t>
  </si>
  <si>
    <t>https://www.bu.edu/questrom/graduate-programs/specialty-masters-programs/ms-in-finance/curriculum/</t>
  </si>
  <si>
    <t>https://www.bu.edu/questrom/graduate-programs/experiential-learning/</t>
  </si>
  <si>
    <t>Real projects with clients</t>
  </si>
  <si>
    <t>https://www.bu.edu/questrom/graduate-programs/experiential-learning/#:~:text=Luxury%20Business%20in%20Milan</t>
  </si>
  <si>
    <t>Milan and other continents</t>
  </si>
  <si>
    <t>Case competitions, international field projects,</t>
  </si>
  <si>
    <t>https://www.bu.edu/grad/videos/internships/</t>
  </si>
  <si>
    <t>Different opportunities</t>
  </si>
  <si>
    <t>https://www.bu.edu/questrom/graduate-programs/specialty-masters-programs/ms-in-finance/careers/</t>
  </si>
  <si>
    <t>46% higher</t>
  </si>
  <si>
    <t>Boston College</t>
  </si>
  <si>
    <t>Carroll School of Management</t>
  </si>
  <si>
    <t>https://www.bc.edu/bc-web/schools/carroll-school/graduate/ms-programs/ms-in-finance.html</t>
  </si>
  <si>
    <t>&lt;12 months</t>
  </si>
  <si>
    <t>Only on Quant. Finance track</t>
  </si>
  <si>
    <t>Emphasizes financial analytical skills that students can bring to workplaces in corporate finance, asset management, and investment banking. 10 hours of community service required for graduation Piolting quantitiative finance track for spring 2026 semester</t>
  </si>
  <si>
    <t>https://www.bc.edu/bc-web/schools/carroll-school/graduate/ms-programs/ms-in-finance.html#:~:text=School%20Specialty%20Rankings-,Curriculum,-2026%20Program%20Update</t>
  </si>
  <si>
    <t>https://www.bc.edu/bc-web/schools/carroll-school/graduate/community-and-student-life.html</t>
  </si>
  <si>
    <t>Clubs for graduate students</t>
  </si>
  <si>
    <t>https://www.bc.edu/bc-web/sites/global-engagement/sites/office-of-global-education/summer-abroad/getting-started.html#appid=info-item-2</t>
  </si>
  <si>
    <t>Combined with internship opportunities globally</t>
  </si>
  <si>
    <t>https://www.bc.edu/bc-web/schools/carroll-school/graduate/mba/applied-learning.html</t>
  </si>
  <si>
    <t>Varies based on semester and program</t>
  </si>
  <si>
    <t>Combined with study abroad</t>
  </si>
  <si>
    <t>https://www.bc.edu/bc-web/offices/studentaffairs/sites/careers/sites/graduate-students.html</t>
  </si>
  <si>
    <t>https://www.marshall.usc.edu/programs/graduate-programs/specialized-masters/ms-finance</t>
  </si>
  <si>
    <t>640-706</t>
  </si>
  <si>
    <t>156-167 V, 157-169 Q, 3.5-5 AW</t>
  </si>
  <si>
    <t>This finance program prepares early and mid-career professionals for careers across a variety of functions including commercial and investment banking, asset management, quantitative research and trading, risk management, venture capital, and private equity, consulting, sales and trading, impact investing and fintech.</t>
  </si>
  <si>
    <t>https://www.marshall.usc.edu/programs/graduate-programs/specialized-masters/ms-finance#:~:text=Core-,Curriculum,-FBE%20506%20Quantitative</t>
  </si>
  <si>
    <t>https://www.marshall.usc.edu/trojan-network/student-organizations#:~:text=GRADUATE%20STUDENT%20ORGANIZATIONS</t>
  </si>
  <si>
    <t>Student orgs, clubs, affinity groups career clubs</t>
  </si>
  <si>
    <t>https://www.marshall.usc.edu/why-marshall/global-opportunities#:~:text=GRADUATE%20GLOBAL%20PROGRAMS</t>
  </si>
  <si>
    <t>PRIME program</t>
  </si>
  <si>
    <t>https://www.marshall.usc.edu/why-marshall/teaching-and-innovation/experiential-learning-center</t>
  </si>
  <si>
    <t>Topics covered include group decision-making, problem solving, making presentations, and business negotiations just to name a few</t>
  </si>
  <si>
    <t>50% higher</t>
  </si>
  <si>
    <t>https://academics.iu.edu/degrees/bloomington/master-of-science-in-finance.html</t>
  </si>
  <si>
    <t>10 or 18</t>
  </si>
  <si>
    <t>Options in Corporate Finance, Financial Institutions, Investment Banking, Investment Management, and Real Estate</t>
  </si>
  <si>
    <t>https://kelley.iu.edu/programs/ms-finance/academics/curriculum/index.html</t>
  </si>
  <si>
    <t>https://kelley.iu.edu/programs/ms-finance/life/index.html</t>
  </si>
  <si>
    <t>Includes professional development courses, practicum, and capstone project‚Äã, Investment Banking Workshop, case competitions, and clubs like Graduate Finance Club</t>
  </si>
  <si>
    <t>https://kelley.iu.edu/programs/ms-finance/index.html</t>
  </si>
  <si>
    <t>Includes practical projects with real clients‚Äã, Capstone Financial Consulting Project</t>
  </si>
  <si>
    <t>https://kelley.iu.edu/programs/online/careers/index.html</t>
  </si>
  <si>
    <t>Ohio State University</t>
  </si>
  <si>
    <t>Fisher College of Business</t>
  </si>
  <si>
    <t>Specialized Master in Finance</t>
  </si>
  <si>
    <t>https://fisher.osu.edu/graduate/smf</t>
  </si>
  <si>
    <t>555-675</t>
  </si>
  <si>
    <t>156-165 V, 152-167 Q, 3-5 AW</t>
  </si>
  <si>
    <t>6</t>
  </si>
  <si>
    <t>Corporate Finance, Investment Banking, Risk Management, Real Estate‚Äã</t>
  </si>
  <si>
    <t>https://fisher.osu.edu/graduate/smf/academics/program-structure</t>
  </si>
  <si>
    <t>https://fisher.osu.edu/academic-departments/department-finance/programs/specialized-master-finance</t>
  </si>
  <si>
    <t>Includes finance projects and consulting practicums‚Äã</t>
  </si>
  <si>
    <t>https://fisher.osu.edu/global-opportunities/</t>
  </si>
  <si>
    <t>GAP, GBE, student exchange</t>
  </si>
  <si>
    <t>Finance Capstone Projects and consulting practicums with real clients‚Äã</t>
  </si>
  <si>
    <t>University of California San Diego</t>
  </si>
  <si>
    <t>Rady School of Management</t>
  </si>
  <si>
    <t>Master of Quantitative Finance</t>
  </si>
  <si>
    <t>https://rady.ucsd.edu/programs/master-quantitative-finance/index.html</t>
  </si>
  <si>
    <t>La Jolla</t>
  </si>
  <si>
    <t>651 (old exam)</t>
  </si>
  <si>
    <t>151-161 V, 152-161 Q, 3.4-2.6 AW</t>
  </si>
  <si>
    <t>15-Dec</t>
  </si>
  <si>
    <t>Core and elective courses including investment analysis, financial econometrics, behavioral finance, and computational finance</t>
  </si>
  <si>
    <t>https://rady.ucsd.edu/programs/master-quantitative-finance/academics/core.html</t>
  </si>
  <si>
    <t>https://rady.ucsd.edu/programs/master-quantitative-finance/academics/index.html</t>
  </si>
  <si>
    <t>Includes career workshops, personal coaching, and industry networking events</t>
  </si>
  <si>
    <t>https://rady.ucsd.edu/programs/master-quantitative-finance/academics/capstone.html</t>
  </si>
  <si>
    <t>Includes a capstone project in financial data or risk management with industry collaboration</t>
  </si>
  <si>
    <t>https://rady.ucsd.edu/why/career-impact/career-coaching.html</t>
  </si>
  <si>
    <t xml:space="preserve">- </t>
  </si>
  <si>
    <t>131-140</t>
  </si>
  <si>
    <t>Master of Science in Finance, Investment and Banking</t>
  </si>
  <si>
    <t>https://business.wisc.edu/graduate/masters/finance/</t>
  </si>
  <si>
    <t>18-Dec</t>
  </si>
  <si>
    <t>Focus on Finance, Investment, and Banking</t>
  </si>
  <si>
    <t>https://business.wisc.edu/graduate/masters/finance/curriculum/</t>
  </si>
  <si>
    <t>https://rady.ucsd.edu/why/students/index.html</t>
  </si>
  <si>
    <t>Clubs, orgs, DEI initiatives</t>
  </si>
  <si>
    <t>https://business.wisc.edu/graduate/masters/finance/curriculum/#:~:text=Leading%2DEdge%20Content.%20Exceptional%20Career%2DReadiness.</t>
  </si>
  <si>
    <t>Managing assets, industry leaders</t>
  </si>
  <si>
    <t>https://business.wisc.edu/graduate/masters/finance/careers/</t>
  </si>
  <si>
    <t>5% higher</t>
  </si>
  <si>
    <t>LOW</t>
  </si>
  <si>
    <t>Ranking (USNews)</t>
  </si>
  <si>
    <t>Master of Human Resource Management</t>
  </si>
  <si>
    <t>https://business.purdue.edu/masters/programs/ms-human-resource-management/home.php</t>
  </si>
  <si>
    <t>11 or 18</t>
  </si>
  <si>
    <t>Data-driven decision making emphasis</t>
  </si>
  <si>
    <t>https://business.purdue.edu/masters/programs/ms-human-resource-management/curriculum.php</t>
  </si>
  <si>
    <t>Corporate networking events, case competitions, engagement opportunities</t>
  </si>
  <si>
    <t>https://www.purdue.edu/IPPU/SA/</t>
  </si>
  <si>
    <t>Serveral locations</t>
  </si>
  <si>
    <t>Gettysburg Experience, Washington campus</t>
  </si>
  <si>
    <t>https://business.purdue.edu/masters/programs/ms-human-resource-management/student-experience/experiences.php</t>
  </si>
  <si>
    <t>Consulting projects, study abroad, corporate networking</t>
  </si>
  <si>
    <t>https://business.purdue.edu/masters/programs/ms-human-resource-management/fact-sheet-mshrm.pdf</t>
  </si>
  <si>
    <t>https://business.purdue.edu/masters/programs/ms-human-resource-management/tuition-and-roi/</t>
  </si>
  <si>
    <t>University of South Carolina</t>
  </si>
  <si>
    <t>Darla Moore School of Business</t>
  </si>
  <si>
    <t>Master of Human Resources</t>
  </si>
  <si>
    <t>https://www.sc.edu/study/colleges_schools/moore/study/human_resources/degree_programs/master_of_human_resources/index.php</t>
  </si>
  <si>
    <t>SC</t>
  </si>
  <si>
    <t>Manage and lead remote employees in the virtual workplace, supplemented by practical, real-world experience.</t>
  </si>
  <si>
    <t>https://sc.edu/study/majors_and_degrees/human-resources-mhr.php</t>
  </si>
  <si>
    <t>https://sc.edu/study/colleges_schools/moore/research_and_centers/centers/riegel_and_emory_human_resources_center/index.php</t>
  </si>
  <si>
    <t>Center for HRMwith specific resources for students pursuing MSHRM degree</t>
  </si>
  <si>
    <t>PG 14 -https://www.sc.edu/study/colleges_schools/moore/study/human_resources/degree_programs/master_of_human_resources/images_docs/031524_mhrbrochure_web.pdf</t>
  </si>
  <si>
    <t xml:space="preserve"> one-week visit to Singapore. During the visit, you will get the chance
to experience the unique culture of this City State in South East Asia. Led by a
professor who spent many years living in the region, you will enjoy rich cultural
experiences with insightful visits to leading companies with operations there.
Past company visits included Singapore Airlines, Standard Chartered Bank,
Boeing, Pepsico, Shell, Eastman Chemicals, Exxon/Mobil and GE Aviation.</t>
  </si>
  <si>
    <t>Internship opportunities</t>
  </si>
  <si>
    <t>https://www.sc.edu/study/colleges_schools/moore/study/human_resources/degree_programs/master_of_human_resources/job_placement/index.php</t>
  </si>
  <si>
    <t>Guaranteed paid summer internship with top company</t>
  </si>
  <si>
    <t>https://sc.edu/study/colleges_schools/moore/talent_recruiting/office_of_career_management/student_resources/remove/graduate/</t>
  </si>
  <si>
    <t>10% lower</t>
  </si>
  <si>
    <t>https://www.sc.edu/study/colleges_schools/moore/study/human_resources/degree_programs/master_of_human_resources/tuition_and_fees/index.php</t>
  </si>
  <si>
    <t>https://ler.illinois.edu/our-programs/human-resources-masters/</t>
  </si>
  <si>
    <t>Fall</t>
  </si>
  <si>
    <t>https://ler.illinois.edu/our-programs/human-resources-masters/degree-requirements/</t>
  </si>
  <si>
    <t>Networking events for students</t>
  </si>
  <si>
    <t>Internship opportunities and hands-on HR projects</t>
  </si>
  <si>
    <t>https://ler.illinois.edu/our-programs/human-resources-masters/tuition-and-financial-aid/</t>
  </si>
  <si>
    <t>Master of Human Resources &amp; Industrial Relations</t>
  </si>
  <si>
    <t>https://carlsonschool.umn.edu/graduate/masters/human-resources-industrial-relations</t>
  </si>
  <si>
    <t>St. Paul and Minneapolis</t>
  </si>
  <si>
    <t>0-60</t>
  </si>
  <si>
    <t>16 or 20</t>
  </si>
  <si>
    <t>20 month option offers time for study abroad, graduate minor/certificate, or CPT (curricular practical training)</t>
  </si>
  <si>
    <t>https://carlsonschool.umn.edu/graduate/masters/human-resources-industrial-relations/curriculum</t>
  </si>
  <si>
    <t>https://carlsonschool.umn.edu/graduate/masters/human-resources-industrial-relations/admissions/faq</t>
  </si>
  <si>
    <t>Leadership practicums</t>
  </si>
  <si>
    <t>https://carlsonschool.umn.edu/centers-institutes/carlson-global-institute/education-abroad</t>
  </si>
  <si>
    <t>Short/long term programs designed for graduate students. Previous locations: Australia, China, Denmark</t>
  </si>
  <si>
    <t>Case competitions, GVC (Graduate Volunteer Consultants), leadership practicum, speakers, projects</t>
  </si>
  <si>
    <t>https://carlsonschool.umn.edu/career-services/graduate</t>
  </si>
  <si>
    <t>7% lower</t>
  </si>
  <si>
    <t>Texas A&amp;M University</t>
  </si>
  <si>
    <t>Master of Science in Human Resources</t>
  </si>
  <si>
    <t>https://mays.tamu.edu/graduate/masters/ms-programs/human-resource-management/</t>
  </si>
  <si>
    <t>141-161 V, 151-167 Q</t>
  </si>
  <si>
    <t>Develop competencies in key areas of HR Management such as recruitment, labor relations, employment law, compensation, employee training, talent management, and organizational effectiveness.</t>
  </si>
  <si>
    <t>Opportunities for interaction with Fortune 500 executives</t>
  </si>
  <si>
    <t>1 professional internship required during program</t>
  </si>
  <si>
    <t>https://careercenter.tamu.edu/current-students/graduate-students</t>
  </si>
  <si>
    <t>https://mays.tamu.edu/ms-human-resource-management/academics/tuition-and-financial-aid/</t>
  </si>
  <si>
    <t>https://fisher.osu.edu/graduate/mhrm</t>
  </si>
  <si>
    <t>144-162 V, 148-164 Q, 3-4.3 AW</t>
  </si>
  <si>
    <t>16-18</t>
  </si>
  <si>
    <t>Human capital has become the primary source for a sustainable competitive advantage for organizations across the globe. 
This landscape is at the heart of new program enhancements to a streamlined MHRM degree at Fisher College of Business.</t>
  </si>
  <si>
    <t>https://fisher.osu.edu/graduate/mhrm/academics/curriculum</t>
  </si>
  <si>
    <t>Internal case competition</t>
  </si>
  <si>
    <t>Capstone projects, hands-on learning</t>
  </si>
  <si>
    <t>Yes for part time students</t>
  </si>
  <si>
    <t>https://gpadmissions.osu.edu/programs/program.aspx?prog=0124#:~:text=Summer%20internship%C2%A0or%C2%A0tutorial%20option%20for%20part%2Dtime%20students</t>
  </si>
  <si>
    <t>For part time students</t>
  </si>
  <si>
    <t>https://fisher.osu.edu/graduate/mhrm/mhrm-career-outcomes#:~:text=Fisher%27s%20Office%20of%20Career%20Management</t>
  </si>
  <si>
    <t>https://fisher.osu.edu/graduate/mhrm/admissions/tuition-funding</t>
  </si>
  <si>
    <t>https://smlr.rutgers.edu/academic-programs/graduate-programs/masters-human-resource-management-mhrm</t>
  </si>
  <si>
    <t>New Brunswick</t>
  </si>
  <si>
    <t>50th percentile</t>
  </si>
  <si>
    <t>50th percentile, 4.5 AW section</t>
  </si>
  <si>
    <t xml:space="preserve">Designed for human resource professionals and managers/supervisors with 4+ years of experience who look to advance their careers to senior HR or management positions. </t>
  </si>
  <si>
    <t>https://smlr.rutgers.edu/academic-programs/graduate-programs/masters-human-resource-management/courses</t>
  </si>
  <si>
    <t>https://smlr.rutgers.edu/academic-programs/graduate-programs/masters-human-resource-management/mhrm-application-process</t>
  </si>
  <si>
    <t>Annual case competition</t>
  </si>
  <si>
    <t>Networking opportunities, research, annual case competition</t>
  </si>
  <si>
    <t>Strongly recommended and available</t>
  </si>
  <si>
    <t>https://grad.rutgers.edu/professional-development/careers</t>
  </si>
  <si>
    <t>16% higher</t>
  </si>
  <si>
    <t>55-110k+</t>
  </si>
  <si>
    <t>https://smlr.rutgers.edu/online-mhrm-frequently-asked-questions</t>
  </si>
  <si>
    <t>https://business.purdue.edu/masters/programs/ms-global-supply-chain-management/home.php</t>
  </si>
  <si>
    <t>48-96</t>
  </si>
  <si>
    <t>12 or 18 or 30</t>
  </si>
  <si>
    <t>Fall or spring</t>
  </si>
  <si>
    <t>Global Supply Chain</t>
  </si>
  <si>
    <t>https://business.purdue.edu/masters/programs/ms-global-supply-chain-management/curriculum.php?utm_campaign=msgscm-fact-sheet_awareness&amp;utm_source=digital-document&amp;utm_content=msgscm_plan-of-study</t>
  </si>
  <si>
    <t>Case competitions, projects, engagement activities</t>
  </si>
  <si>
    <t>Past trips: South America, Central Asia, Europe</t>
  </si>
  <si>
    <t>Gettysburg, Washington DC</t>
  </si>
  <si>
    <t>https://business.purdue.edu/masters/programs/ms-global-supply-chain-management/student-experience/experience.php</t>
  </si>
  <si>
    <t>3 credits of experiental learning- can be earned via project, internship, or co-op</t>
  </si>
  <si>
    <t>https://business.purdue.edu/masters/programs/ms-global-supply-chain-management/student-experience/internship-coop.php</t>
  </si>
  <si>
    <t xml:space="preserve">Daniels School career coaches work hard to help MSGSCM students land ideal internships and co-ops with top companies. 
</t>
  </si>
  <si>
    <t>https://business.purdue.edu/masters/programs/ms-global-supply-chain-management/career-outcomes.php#:~:text=BUSINESS%20CAREER%20SERVICES</t>
  </si>
  <si>
    <t>https://business.purdue.edu/masters/programs/ms-global-supply-chain-management/tuition.php</t>
  </si>
  <si>
    <t>https://broad.msu.edu/masters/supply-chain-management/</t>
  </si>
  <si>
    <t>Fall, spring, summer</t>
  </si>
  <si>
    <t>Global Supply Chain, Strategic Sourcing, Lean Enterprise, Logistics + more</t>
  </si>
  <si>
    <t>Research projects, case studies, simulations</t>
  </si>
  <si>
    <t>Field study/research emphasis</t>
  </si>
  <si>
    <t>https://broad.msu.edu/career-management/intern-project/</t>
  </si>
  <si>
    <t>Global internship opportunities</t>
  </si>
  <si>
    <t>https://www.michiganstateuniversityonline.com/programs/master-of-science-in-supply-chain-management/curriculum/</t>
  </si>
  <si>
    <t>Washington University in St. Louis</t>
  </si>
  <si>
    <t>https://olin.wustl.edu/programs/specialized-masters/ms-in-supply-chain-management/index.php</t>
  </si>
  <si>
    <t>Saint Louis</t>
  </si>
  <si>
    <t>157 V, 168 Q</t>
  </si>
  <si>
    <t>18</t>
  </si>
  <si>
    <t>Includes logistics, project management, supply chain risk management, and operations analytics​</t>
  </si>
  <si>
    <t>https://bulletin.wustl.edu/grad/business/graduate-masters/supply-chain/#curriculum</t>
  </si>
  <si>
    <t>Yes - general link here</t>
  </si>
  <si>
    <t>https://olin.washu.edu/programs/specialized-masters/ms-in-supply-chain-management/index.php#:~:text=Learn%20more-,Real%2Dworld%20experience,-Gaining%20real%2Dworld</t>
  </si>
  <si>
    <t xml:space="preserve">Through the Boeing Center, we tackle critical technology, information and supply chain issues, working to find innovative solutions to operational and management challenges.https://olin.washu.edu/faculty-and-research/research-centers/boeing-center/index.php
https://olin.washu.edu/faculty-and-research/research-centers/boeing-center/projects.php </t>
  </si>
  <si>
    <t>https://olin.washu.edu/student-resources/career-services/index.php#:~:text=Career%20coaching&amp;text=Your%20coach%20provides%20individualized%20mentoring,career%20coaching%20as%20an%20alum.</t>
  </si>
  <si>
    <t>6% lower</t>
  </si>
  <si>
    <t>https://bulletin.wustl.edu/business/graduate-masters-degrees/financial-information/</t>
  </si>
  <si>
    <t>University of Tennessee - Knoxville</t>
  </si>
  <si>
    <t>Master of Science in Supply Chain Management Tri-Continent</t>
  </si>
  <si>
    <t>https://haslam.utk.edu/masters/tri-con/</t>
  </si>
  <si>
    <t>20-30</t>
  </si>
  <si>
    <t>10</t>
  </si>
  <si>
    <t>Global supply chain across 3 continents</t>
  </si>
  <si>
    <t>https://haslam.utk.edu/supply-chain-management/ms-scm-global/#:~:text=practicing%20project%20management.-,CURRICULUM,-WHAT%20YOU%E2%80%99LL%20LEARN</t>
  </si>
  <si>
    <t>https://haslam.utk.edu/full-time-mba-2024/tri-con/academics/</t>
  </si>
  <si>
    <t>Including access to the Boeing Center for Supply Chain Innovation and other corporate partnerships​</t>
  </si>
  <si>
    <t>https://haslam.utk.edu/full-time-mba-2024/tri-con/#learn</t>
  </si>
  <si>
    <t>Across Germany, China, USA (3 continents)</t>
  </si>
  <si>
    <t>3 continent structure</t>
  </si>
  <si>
    <t>Experience with Employers capstone project, The curriculum includes a yearlong immersive project with a highly recognized company, offering students the chance to apply their learning and build the confidence and skills needed for success after graduation.</t>
  </si>
  <si>
    <t>https://haslam.utk.edu/supply-chain-management/ms-scm-global/</t>
  </si>
  <si>
    <t>14% lower</t>
  </si>
  <si>
    <t>https://haslam.utk.edu/masters/scm-global/tuition-financial-aid</t>
  </si>
  <si>
    <t>https://mscm.smeal.psu.edu/</t>
  </si>
  <si>
    <t>None specified, but offers electives in areas like business analytics, innovation, and finance.</t>
  </si>
  <si>
    <t>https://mscm.smeal.psu.edu/program-details/curriculum</t>
  </si>
  <si>
    <t>Includes experiential learning and projects like the Capstone Project​</t>
  </si>
  <si>
    <t>https://www.psu.edu/news/global-programs/story/fall-2024-study-abroad-information-session-be-held-nov-29-university-park</t>
  </si>
  <si>
    <t>Optional global immersion experience available</t>
  </si>
  <si>
    <t>Includes capstone projects and real-world supply chain challenges​</t>
  </si>
  <si>
    <t>https://www.smeal.psu.edu/alumni/alumni-career-services/career-coaching</t>
  </si>
  <si>
    <t>https://mscm.smeal.psu.edu/program-details/tuition-aid</t>
  </si>
  <si>
    <t>https://wpcarey.asu.edu/masters-programs/supply-chain</t>
  </si>
  <si>
    <t>Either E2E supply chain or business intelligence</t>
  </si>
  <si>
    <t>https://wpcarey.asu.edu/masters-programs/supply-chain/academics</t>
  </si>
  <si>
    <t>https://wpcarey.asu.edu/masters-programs/supply-chain/experience#life</t>
  </si>
  <si>
    <t>MS-SCM students will benefit from access to the Knight-Swift Logistics Laboratory and W. P. Carey School of Technology, Innovation, and Entrepreneurship (TIE).</t>
  </si>
  <si>
    <t>https://goglobal.asu.edu/w-p-carey-global-education-opportunities</t>
  </si>
  <si>
    <t>Different lengths and timings offered</t>
  </si>
  <si>
    <t>https://wpcarey.asu.edu/finance-degrees/undergraduate-learning-experiences</t>
  </si>
  <si>
    <t>Investment funds and practicums, real estate mentorships</t>
  </si>
  <si>
    <t>11% higher</t>
  </si>
  <si>
    <t>https://wpcarey.asu.edu/masters-programs/supply-chain/program-cost</t>
  </si>
  <si>
    <t>Naveen Jindal School of Management</t>
  </si>
  <si>
    <t>Masters of Science in Supply Chain Management</t>
  </si>
  <si>
    <t>https://om.utdallas.edu/ms-scm/</t>
  </si>
  <si>
    <t>Dallas</t>
  </si>
  <si>
    <t>Between 18 and 24</t>
  </si>
  <si>
    <t xml:space="preserve"> With a curriculum grounded in proven theory, best practices and emerging innovations like artificial intelligence (AI), the MS SCM program enables students to examine operations, manage AI- and technology-enabled processes and craft supply chain strategies.</t>
  </si>
  <si>
    <t>https://om.utdallas.edu/ms-scm/curriculum/</t>
  </si>
  <si>
    <t>https://jindal.utdallas.edu/student-resources/student-organizations/</t>
  </si>
  <si>
    <t>Graduate student organizations</t>
  </si>
  <si>
    <t>https://jindal.utdallas.edu/student-resources/study-abroad-programs/</t>
  </si>
  <si>
    <t>Semester exchange, faculty-led, international internship</t>
  </si>
  <si>
    <t>https://career.utdallas.edu/experiential-programs/</t>
  </si>
  <si>
    <t>Comet treks, job shadowing, internships</t>
  </si>
  <si>
    <t>International internships</t>
  </si>
  <si>
    <t>https://jindal.utdallas.edu/career-management-center/</t>
  </si>
  <si>
    <t>https://www.utdallas.edu/bursar/tuition-plans-rates/</t>
  </si>
  <si>
    <t>5yr Salary (Revenue)</t>
  </si>
  <si>
    <t>ROI% In-State 5yrs</t>
  </si>
  <si>
    <t>ROI% Out of State 5yrs</t>
  </si>
  <si>
    <t>ROI% International 5yrs</t>
  </si>
  <si>
    <t>Master of Science in Marketing</t>
  </si>
  <si>
    <t>https://business.purdue.edu/masters/programs/ms-marketing/home.php</t>
  </si>
  <si>
    <t>10 or 18 months</t>
  </si>
  <si>
    <t>Summer session</t>
  </si>
  <si>
    <t>Marketing analytics, digital marketing, social media marketing, pricing strategies, product development</t>
  </si>
  <si>
    <t>https://business.purdue.edu/masters/programs/ms-marketing/curriculum.php</t>
  </si>
  <si>
    <t>Digital Marketing Lab, consulting projects, case studies, market simulations</t>
  </si>
  <si>
    <t>https://www.studyabroad.purdue.edu/programs/search.cfm (Study Abroad programs)</t>
  </si>
  <si>
    <t>Consulting projects, case studies, marketing simulations, immersion courses with faculty and industry experts</t>
  </si>
  <si>
    <t>$45111</t>
  </si>
  <si>
    <t>#2 in North America</t>
  </si>
  <si>
    <t>#6 in North America, #27 Global</t>
  </si>
  <si>
    <t>https://business.purdue.edu/masters/programs/ms-marketing/tuition-and-roi/</t>
  </si>
  <si>
    <t>https://carey.jhu.edu/programs/master-science-programs/ms-marketing-full-time</t>
  </si>
  <si>
    <t>Baltimore and Washington</t>
  </si>
  <si>
    <t>MD and D.C.</t>
  </si>
  <si>
    <t>&lt; 1 average years</t>
  </si>
  <si>
    <t>Marketing Analytics concentration</t>
  </si>
  <si>
    <t>https://e-catalogue.jhu.edu/business/degrees-certificates/marketing-master-science/</t>
  </si>
  <si>
    <t>Business education extends beyond classroom with partnerships across Johns Hopkins and businesses</t>
  </si>
  <si>
    <t>Yes (Innovation Field Projects, immersive experiences)</t>
  </si>
  <si>
    <t>Month-long field projects from Baltimore to Belize and beyond, hands-on learning with immediate business impact</t>
  </si>
  <si>
    <t>0.5% higher than national average</t>
  </si>
  <si>
    <t>https://carey.jhu.edu/admissions/tuition-fees</t>
  </si>
  <si>
    <t>University of Rochester</t>
  </si>
  <si>
    <t>Simon Business School</t>
  </si>
  <si>
    <t>Master of Science in Marketing Analytics</t>
  </si>
  <si>
    <t>https://simon.rochester.edu/programs/full-time-ms-in-marketing-analytics</t>
  </si>
  <si>
    <t>650-730</t>
  </si>
  <si>
    <t>3.1-3.9</t>
  </si>
  <si>
    <t>18 months (1.5 years)</t>
  </si>
  <si>
    <t>Non-internship track, Internship track</t>
  </si>
  <si>
    <t>https://simon.rochester.edu/programs/full-time-ms-in-marketing-analytics/academics/curriculum</t>
  </si>
  <si>
    <t>Simon Marketing Association, student clubs, networking events</t>
  </si>
  <si>
    <t>https://www.rochester.edu/college-grad-study/international-opportunities/</t>
  </si>
  <si>
    <t>Capstone projects with corporate sponsors, hands-on experiential learning</t>
  </si>
  <si>
    <t>61-70</t>
  </si>
  <si>
    <t>https://simon.rochester.edu/programs/full-time-ms-in-marketing-analytics/tuition-financial-aid/tuition-and-expenses</t>
  </si>
  <si>
    <t>Fordham University</t>
  </si>
  <si>
    <t>Gabelli Graduate School of Business</t>
  </si>
  <si>
    <t>Master of Science in Marketing Intelligence</t>
  </si>
  <si>
    <t>https://www.fordham.edu/gabelli-school-of-business/academic-programs-and-admissions/graduate-programs/academic-programs/ms-programs/marketing-intelligence/</t>
  </si>
  <si>
    <t>Bronx</t>
  </si>
  <si>
    <t>Fall/Spring/Summer</t>
  </si>
  <si>
    <t>Marketing Analytics, Consumer Insights, Digital Marketing</t>
  </si>
  <si>
    <t>https://bulletin.fordham.edu/gabelli-graduate/ms/marketing-intelligence/</t>
  </si>
  <si>
    <t>Marketing Society, networking events, annual Marketing Plan Competition</t>
  </si>
  <si>
    <t>https://www.fordham.edu/gabelli-school-of-business/academic-programs-and-admissions/graduate-programs/academic-programs/ms-programs/</t>
  </si>
  <si>
    <t>https://www.fordham.edu/gabelli-school-of-business/academic-programs-and-admissions/graduate-programs/academic-programs/ms-programs/marketing-intelligence/msmi-curriculum/</t>
  </si>
  <si>
    <t>Applied Project with real corporate clients (Bloomberg, Pfizer, Food Network, Discovery Network, McCann Worldgroup, WebMD)</t>
  </si>
  <si>
    <t>74% above national average</t>
  </si>
  <si>
    <t>81-90</t>
  </si>
  <si>
    <t>86% (within 90 days)</t>
  </si>
  <si>
    <t>https://www.fordham.edu/admissions-and-aid/costs-and-financing-options/tuition-and-fees/graduate-gabelli-school-of-business/</t>
  </si>
  <si>
    <t>https://www.mccombs.utexas.edu/graduate/specialized-masters/ms-marketing/</t>
  </si>
  <si>
    <t>Optional</t>
  </si>
  <si>
    <t>36-37</t>
  </si>
  <si>
    <t>Marketing Analytics, Data Visualization</t>
  </si>
  <si>
    <t>https://www.mccombs.utexas.edu/graduate/specialized-masters/ms-marketing/academics/curriculum/</t>
  </si>
  <si>
    <t>Capstone project with Austin companies, networking events</t>
  </si>
  <si>
    <t>https://www.mccombs.utexas.edu/MS-Marketing
https://www.mccombs.utexas.edu/students/international/study-abroad</t>
  </si>
  <si>
    <t>Company treks to Austin area employers</t>
  </si>
  <si>
    <t>Capstone course with real companies, hands-on marketing problem solving</t>
  </si>
  <si>
    <t>#2 US, #13 World</t>
  </si>
  <si>
    <t>90-95%</t>
  </si>
  <si>
    <t>https://www.mccombs.utexas.edu/graduate/specialized-masters/ms-marketing/tuition-financial-aid/</t>
  </si>
  <si>
    <t>University of Maryland - College Park</t>
  </si>
  <si>
    <t>Smith School of Business</t>
  </si>
  <si>
    <t>https://www.rhsmith.umd.edu/programs/business-masters/academics/marketing-analytics</t>
  </si>
  <si>
    <t>College Park</t>
  </si>
  <si>
    <t>12-15</t>
  </si>
  <si>
    <t>Marketing Analytics, Data Science, Consumer Analytics</t>
  </si>
  <si>
    <t>Action Learning Projects with companies, Adobe Analytics Challenge, Data competitions</t>
  </si>
  <si>
    <t>https://www.rhsmith.umd.edu/programs/ms-marketing
https://globalmaryland.umd.edu/ (Global Education Office)</t>
  </si>
  <si>
    <t>Real company partnerships, Action Learning Projects, Data competitions (Adobe Analytics Challenge)</t>
  </si>
  <si>
    <t>https://www.rhsmith.umd.edu/sites/default/files/2024-01/MSMA-Online-Cost-Sheet-2024.pdf</t>
  </si>
  <si>
    <t>https://www.marshall.usc.edu/programs/graduate-programs/specialized-masters/ms-marketing</t>
  </si>
  <si>
    <t>Analytics Track, Consumer Behavior Track</t>
  </si>
  <si>
    <t>https://www.marshall.usc.edu/programs/ms-marketing
https://global.usc.edu/academic-opportunities/study-abroad-and-international-exchange/</t>
  </si>
  <si>
    <t>Project-based learning with industry partners</t>
  </si>
  <si>
    <t>#3 U.S., #15 Overall (Marshall School)</t>
  </si>
  <si>
    <t>https://www.marshall.usc.edu/programs/graduate-programs/specialized-masters/ms-marketing/ms-marketing-tuition-fees</t>
  </si>
  <si>
    <t>Columbia University</t>
  </si>
  <si>
    <t>Columbia Business School</t>
  </si>
  <si>
    <t>Master of Science in Marketing Science</t>
  </si>
  <si>
    <t>https://academics.gsb.columbia.edu/msm</t>
  </si>
  <si>
    <t xml:space="preserve">New York </t>
  </si>
  <si>
    <t>Marketing and Analytics electives</t>
  </si>
  <si>
    <t>https://academics.business.columbia.edu/msm/academics</t>
  </si>
  <si>
    <t>https://www8.gsb.columbia.edu/programs/ms-admissions
https://bulletin.columbia.edu/content/study-abroad-opportunities</t>
  </si>
  <si>
    <t>PhD courses, MBA electives, real-world projects</t>
  </si>
  <si>
    <t>https://www8.gsb.columbia.edu/programs/master-of-science/marketing-science/tuition-financial-aid</t>
  </si>
  <si>
    <t>Northwestern University</t>
  </si>
  <si>
    <t>Medill School of Journalism, Media, Integrated Marketing Communications</t>
  </si>
  <si>
    <t>Master of Science in Integrated Marketing Communications</t>
  </si>
  <si>
    <t>https://www.medill.northwestern.edu/imc/</t>
  </si>
  <si>
    <t>Evanston</t>
  </si>
  <si>
    <t>~100-120</t>
  </si>
  <si>
    <t>Brand Communication, Digital Strategy, Analytics, Consumer Insight</t>
  </si>
  <si>
    <t>https://www.medill.northwestern.edu/imc/full-time/curriculum/</t>
  </si>
  <si>
    <t>https://www.medill.northwestern.edu/imc/full-time/</t>
  </si>
  <si>
    <t>Student committees, immersion quarter, industry projects</t>
  </si>
  <si>
    <t>https://www.kellogg.northwestern.edu/programs/ms-marketing
https://undergrad.kellogg.northwestern.edu/global-experiential-learning/</t>
  </si>
  <si>
    <t>Optional international experiences in Chicago, San Francisco, and other locations</t>
  </si>
  <si>
    <t>Immersion Quarter with industry partners</t>
  </si>
  <si>
    <t>Real-world client projects, 10-week immersion quarter with top companies</t>
  </si>
  <si>
    <t>#42 (Northwestern overall)</t>
  </si>
  <si>
    <t>https://www.northwestern.edu/sfs/tuition/graduate/medill-school-of-journalism.html</t>
  </si>
  <si>
    <t>Babson College</t>
  </si>
  <si>
    <t>MBA Concentration in Marketing (Closest Degree)</t>
  </si>
  <si>
    <t>https://www.babson.edu/graduate/academics/mba-concentrations/marketing/</t>
  </si>
  <si>
    <t>Wellesley</t>
  </si>
  <si>
    <t>https://www.babson.edu/academics/graduate/ms-marketing/
https://www.babson.edu/academics/graduate/global-immersions/</t>
  </si>
  <si>
    <t>https://www.babson.edu/graduate/admissions/tuition-financial-aid/graduate-tuition-and-payment-deadlines/</t>
  </si>
  <si>
    <t>No specific degree exists</t>
  </si>
  <si>
    <t>((SALARY-(TUITION+COST OF LIVING))/(TUITION+COST OF LIVING)</t>
  </si>
  <si>
    <t>University</t>
  </si>
  <si>
    <t>School/College -me</t>
  </si>
  <si>
    <t>Program name</t>
  </si>
  <si>
    <t>Co-Curricular Activities (brief expla-tion)</t>
  </si>
  <si>
    <t>Master of Business and Technology</t>
  </si>
  <si>
    <t>https://business.purdue.edu/master-of-business/master-of-business-and-technology/home.php</t>
  </si>
  <si>
    <t>Graduate Certificate in Business and Technology</t>
  </si>
  <si>
    <t>https://business.purdue.edu/master-of-business/master-of-business-and-technology/curriculum.php</t>
  </si>
  <si>
    <t>Case competitions, projects, engagement opportunities</t>
  </si>
  <si>
    <t>Yes​</t>
  </si>
  <si>
    <t>https://business.purdue.edu/master-of-business/shared/experience.php</t>
  </si>
  <si>
    <t>Corporate Networking, Alumni Mentoring, Case Competitions</t>
  </si>
  <si>
    <t>https://business.purdue.edu/master-of-business/master-of-business-and-technology/tuition-and-roi/</t>
  </si>
  <si>
    <t>MBA Business Technologies Concentration</t>
  </si>
  <si>
    <t>https://www.cmu.edu/tepper/programs/mba/curriculum/concentration/business-technologies.html</t>
  </si>
  <si>
    <t>Business Technologies</t>
  </si>
  <si>
    <t>https://www.cmu.edu/tepper/programs/mba/curriculum/full-time-curriculum-map.html</t>
  </si>
  <si>
    <t>https://www.cmu.edu/tepper/programs/mba/program-options/full-time.html</t>
  </si>
  <si>
    <t>Students participate in various student-led clubs and leadership programs.</t>
  </si>
  <si>
    <t>https://www.cmu.edu/tepper/programs/mba/life-at-tepper/global-treks.html</t>
  </si>
  <si>
    <t>Options include short-term global treks and exchange programs.</t>
  </si>
  <si>
    <t>https://www.cmu.edu/tepper/programs/mba/careers/career-treks.html</t>
  </si>
  <si>
    <t>Past trek desti-tions have included Silicon Valley, New York City, Seattle, Chicago, Detroit, and Boston.</t>
  </si>
  <si>
    <t>Opportunities include consulting projects and internships with leading firms.</t>
  </si>
  <si>
    <t>2% lower</t>
  </si>
  <si>
    <t>https://www.cmu.edu/sfs/cost/graduate-tuition/tepper-school-of-business/full-time-mba.html</t>
  </si>
  <si>
    <t>School of Professional Studies</t>
  </si>
  <si>
    <t>Master of Science in Technology Management</t>
  </si>
  <si>
    <t>https://sps.columbia.edu/academics/masters/technology-management/master-science</t>
  </si>
  <si>
    <t>January, September​</t>
  </si>
  <si>
    <t>C-Level Management, Data Management &amp; Analytics, Cybersecurity, Digital &amp; Business Transformation, Media &amp; Entertainment Technology, New Business Ventures</t>
  </si>
  <si>
    <t>Academics | Master's Degrees | Technology Management | Master of Science (Full-Time or Part-Time) Curriculum &amp; Courses | Columbia University School of Professio-l Studies</t>
  </si>
  <si>
    <t>Academics | Master's Degrees | Technology Ma-gement Master of Science in Technology Ma-gement | Columbia University School of Professio-l Studies</t>
  </si>
  <si>
    <t>Includes access to Columbia's network of 1,000+ alumni in key positions, mentoring by technology leaders, and project-based learning</t>
  </si>
  <si>
    <t>Academics | Master's Degrees | Technology Ma-gement Executive Master of Science in Technology Ma-gement | Columbia University School of Professio-l Studies</t>
  </si>
  <si>
    <t>Includes a Capstone Project​</t>
  </si>
  <si>
    <t>https://sps.columbia.edu/student-financial-services/professional-studies-cost-attendance</t>
  </si>
  <si>
    <t>Cornell University</t>
  </si>
  <si>
    <t>Samuel Curtis Johnson Graduate School of Ma-gement</t>
  </si>
  <si>
    <t>Johnson Cornell Tech MBA</t>
  </si>
  <si>
    <t>https://tech.cornell.edu/programs/masters-programs/johnson-cornell-tech-mba/</t>
  </si>
  <si>
    <t>June</t>
  </si>
  <si>
    <t>Includes intensives in Fintech and Digital Marketing, and focuses on hands-on studio projects like Product Studio and Startup Studio</t>
  </si>
  <si>
    <t>Johnson Cornell Tech MBA - Cornell Tech</t>
  </si>
  <si>
    <t>Including industry-intensive interactions and networking opportunities with startups and tech leaders​</t>
  </si>
  <si>
    <t>Central to the program, including studio-based projects and real-world applications in tech sectors</t>
  </si>
  <si>
    <t>https://tech.cornell.edu/admissions/tuition-fees/</t>
  </si>
  <si>
    <t xml:space="preserve">Business Administration - Management of Technology </t>
  </si>
  <si>
    <t>https://catalog.gatech.edu/programs/mba-management-technology-executive/</t>
  </si>
  <si>
    <t>The Management of Technology (MOT) track emphasizes innovation, digital transformation, and technology management</t>
  </si>
  <si>
    <t>https://www.scheller.gatech.edu/explore-programs/mba-programs/full-time-mba/index.html</t>
  </si>
  <si>
    <t>The program includes opportunities for networking, leadership development, and interaction with industry experts.</t>
  </si>
  <si>
    <t>Study Abroad (gatech.edu)</t>
  </si>
  <si>
    <t>Inter-tio-l residencies are part of the curriculum</t>
  </si>
  <si>
    <t>Through practicums and hands-on projects</t>
  </si>
  <si>
    <t>4% lower</t>
  </si>
  <si>
    <t>https://scheller.gatech.edu/degree-programs/executive-mba/executive-mba-faqs</t>
  </si>
  <si>
    <t>Kellogg School of Management &amp; McCormick School of Engineering</t>
  </si>
  <si>
    <t>MBAi Program for Business &amp; Artificial Intelligence</t>
  </si>
  <si>
    <t>https://www.kellogg.northwestern.edu/programs/full-time-mba/mbai-program.aspx</t>
  </si>
  <si>
    <t>The program emphasizes AI, machine learning, data science, and their applications across business sectors</t>
  </si>
  <si>
    <t>https://mbai.northwestern.edu/curriculum/</t>
  </si>
  <si>
    <t>MBAi Program - Northwestern University</t>
  </si>
  <si>
    <t>Capstone projects and internships with industry partners</t>
  </si>
  <si>
    <t>Preparing the Next Generation of AI Leaders: MBAi Program - Northwestern University</t>
  </si>
  <si>
    <t>Through capstone projects with technical students and internships</t>
  </si>
  <si>
    <t>34% higher</t>
  </si>
  <si>
    <t>https://www.kellogg.northwestern.edu/programs/full-time-mba/tuition-financial-aid.aspx</t>
  </si>
  <si>
    <t>MBT information varies based on programs - some are certificates, etc. (used closest match for data collection)</t>
  </si>
  <si>
    <t>One-Year MBA</t>
  </si>
  <si>
    <t>https://business.purdue.edu/master-of-business/one-year-mba/home.php</t>
  </si>
  <si>
    <t>48 (4 Years)</t>
  </si>
  <si>
    <t>Not specifically reported</t>
  </si>
  <si>
    <t>11 months</t>
  </si>
  <si>
    <t>Students may take 20 credits in elective courses to create areas of focus or blend elective courses</t>
  </si>
  <si>
    <t>https://business.purdue.edu/master-of-business/one-year-mba/curriculum.php</t>
  </si>
  <si>
    <t>https://business.purdue.edu/master-of-business/one-year-mba/</t>
  </si>
  <si>
    <t>Active learning projects, work with entrepreneurs and technologists at Purdue's Discovery Park and Purdue Innovates, experiential learning opportunities</t>
  </si>
  <si>
    <t>Yes (mentioned as available)</t>
  </si>
  <si>
    <t>Not specifically provided</t>
  </si>
  <si>
    <t>Opportunities to study abroad available</t>
  </si>
  <si>
    <t>Active learning projects applying classroom lessons to emerging or existing enterprises, work with entrepreneurs at Discovery Park and Purdue Innovates</t>
  </si>
  <si>
    <t>90%+ (Purdue overall placement rate)</t>
  </si>
  <si>
    <t>https://vertexaisearch.cloud.google.com/grounding-api-redirect/AUZIYQEk_6KSFBpqHwCL8Y503_yNGuk06CNBD-d6p2TyyM0hFkf_zFXgl9Keo20EfRuWjYfEAvlUo9-jtwg6J0og0JnFzEdzJroYqrjxiMpCLRT3_JUsrfu7ojbR6wBEcGgYho8rwefUqmWWANNKvP9Xob3STtS2bus2BUjmsI_81_v_ejsO</t>
  </si>
  <si>
    <t>Kellogg School of Management</t>
  </si>
  <si>
    <t>https://www.kellogg.northwestern.edu/programs/full-time-mba/one-year-mba-program/</t>
  </si>
  <si>
    <t>162 (Verbal), 164 (Quant)</t>
  </si>
  <si>
    <t>Majors: Accounting, Economics, Finance, Marketing, Operations, Strategy, Managing Organizations. Pathways: Data Analytics, Entrepreneurship, Growth and Scaling, Healthcare, Real Estate, Social Impact, Venture Capital &amp; Private Equity.</t>
  </si>
  <si>
    <t>Clubs</t>
  </si>
  <si>
    <t>Over 100 student-run clubs and organizations covering professional, cultural, and personal interests, including conferences, case competitions, and speaker series.</t>
  </si>
  <si>
    <t>Global Opportunities</t>
  </si>
  <si>
    <t>Kellogg offers Global Initiatives in Management (GIM) and Global Lab courses that combine classroom learning with in-country fieldwork and consulting projects.</t>
  </si>
  <si>
    <t>Treks</t>
  </si>
  <si>
    <t>Student-led "treks" to major cities like New York and San Francisco to meet with alumni and leading companies in industries such as finance, tech, and marketing.</t>
  </si>
  <si>
    <t>Experiential Learning</t>
  </si>
  <si>
    <t>Offers a wide range of hands-on learning labs in areas like asset management, venture capital, social impact, and new venture development.</t>
  </si>
  <si>
    <t>https://www.kellogg.northwestern.edu/programs/full-time-mba/full-time-mba-admissions/tuition-financial-aid.aspx</t>
  </si>
  <si>
    <t>Samuel Curtis Johnson Graduate School of Management</t>
  </si>
  <si>
    <t>Tech MBA</t>
  </si>
  <si>
    <t>https://www.johnson.cornell.edu/programs/full-time-mba/cornell-tech-mba/</t>
  </si>
  <si>
    <t>161 Verbal, 161 Quant</t>
  </si>
  <si>
    <t>Digital Technology, Finance, Marketing, Strategy, Consulting, Leadership &amp; Ethics, Entrepreneurship</t>
  </si>
  <si>
    <t>[Curriculum Link](https://www.johnson.cornell.edu/programs/full-time-mba/one-year-mba/curriculum/)</t>
  </si>
  <si>
    <t>[Student Experience Link](https://www.google.com/search?q=https://www.johnson.cornell.edu/programs/full-time-mba/one-year-mba/student-experience/)</t>
  </si>
  <si>
    <t>Includes student clubs, case competitions, and leadership programs designed to build community and professional skills.</t>
  </si>
  <si>
    <t>[Global Opportunities Link](https://www.google.com/search?q=https://www.johnson.cornell.edu/programs/full-time-mba/one-year-mba/student-experience/global-opportunities/)</t>
  </si>
  <si>
    <t>Offers short-term international study trips and immersions as part of the curriculum.</t>
  </si>
  <si>
    <t>https://www.google.com/search?q=https://www.johnson.cornell.edu/programs/full-time-mba/career-treks/)</t>
  </si>
  <si>
    <t>Organized visits to major cities (e.g., NYC, SF) to network with alumni and explore companies in various industries like tech and finance.</t>
  </si>
  <si>
    <t>[Immersions &amp; Experiential Learning Link](https://www.google.com/search?q=https://www.johnson.cornell.edu/programs/full-time-mba/one-year-mba/student-experience/immersions-experiential-learning/)</t>
  </si>
  <si>
    <t>Includes immersion learning, consulting projects, and management of student-run venture capital funds.</t>
  </si>
  <si>
    <t>Not Applicable (Flat Rate Tuition)</t>
  </si>
  <si>
    <t>Information Not Publicly Available</t>
  </si>
  <si>
    <t>https://www.johnson.cornell.edu/programs/full-time-mba/tuition-expenses/</t>
  </si>
  <si>
    <t>Andre Koo Technology and Entrepreneurship MBA</t>
  </si>
  <si>
    <t>Andre Koo Tech MBA - NYU Stern</t>
  </si>
  <si>
    <t>660-760 (Range)</t>
  </si>
  <si>
    <t>Not Publicly Available</t>
  </si>
  <si>
    <t>3.21-4.00 (Range)</t>
  </si>
  <si>
    <t>Technology, Entrepreneurship</t>
  </si>
  <si>
    <t>[Curriculum Link](https://www.google.com/search?q=https://www.stern.nyu.edu/programs-admissions/tech-mba/academics/curriculum)</t>
  </si>
  <si>
    <t>[Student Life Link](https://www.google.com/search?q=https://www.stern.nyu.edu/programs-admissions/full-time-mba/student-experience/clubs-organizations)</t>
  </si>
  <si>
    <t>Students have access to over 40 professional and affinity clubs, such as the Entrepreneurs' Exchange and the Stern Technology Association.</t>
  </si>
  <si>
    <t>[Global Study Link](https://www.google.com/search?q=https://www.stern.nyu.edu/programs-admissions/full-time-mba/student-experience/global-study)</t>
  </si>
  <si>
    <t>Students can participate in short-term, 1.5 credit "Doing Business In..." (DBI) courses, which are immersive study trips to various countries.</t>
  </si>
  <si>
    <t>https://www.google.com/search?q=https://www.stern.nyu.edu/programs-admissions/full-time-mba/career/office-career-development)</t>
  </si>
  <si>
    <t>The Office of Career Development organizes group trips to major business hubs (e.g., Silicon Valley, Seattle) for networking and company visits.</t>
  </si>
  <si>
    <t>[Experiential Learning Link](https://www.google.com/search?q=https://www.stern.nyu.edu/programs-admissions/tech-mba/academics/experiential-learning)</t>
  </si>
  <si>
    <t>A core component of the program, "Stern Solutions" projects allow students to solve real-world business challenges for tech and startup partner companies.</t>
  </si>
  <si>
    <t>N/A (Lock-step program)</t>
  </si>
  <si>
    <t>94.7% (Offers within 3 months of graduation)</t>
  </si>
  <si>
    <t>https://www.stern.nyu.edu/programs-admissions/full-time-mba/financial-aid/tuition-cost-attendance/focused-mba/andre-koo-technology-entrepreneurship-mba</t>
  </si>
  <si>
    <t>MBA Business: Luxury &amp; Retail</t>
  </si>
  <si>
    <t>https://www.stern.nyu.edu/programs-admissions/luxury-retail-mba</t>
  </si>
  <si>
    <t>Verbal: 164, Quantitative: 164</t>
  </si>
  <si>
    <t>Luxury, Retail</t>
  </si>
  <si>
    <t>[Link](https://www.stern.nyu.edu/programs-admissions/luxury-retail-mba/program/curriculum)</t>
  </si>
  <si>
    <t>[Link](https://www.stern.nyu.edu/programs-admissions/undergraduate/vibrant-community/student-clubs-and-organizations)</t>
  </si>
  <si>
    <t>Students can join various clubs and organizations, including the Luxury and Retail Association.</t>
  </si>
  <si>
    <t>[Link](https://www.stern.nyu.edu/programs-admissions/luxury-retail-mba/program/experiential)</t>
  </si>
  <si>
    <t>A required European immersion trip in January.</t>
  </si>
  <si>
    <t>https://apply.stern.nyu.edu/portal/f&amp;l_events)</t>
  </si>
  <si>
    <t>Events and company visits in New York City.</t>
  </si>
  <si>
    <t>Project-based learning, including "Stern Solutions" projects with industry partners.</t>
  </si>
  <si>
    <t>https://www.stern.nyu.edu/programs-admissions/full-time-mba/financial-aid/cost-attendance/luxury-retail-mba-students</t>
  </si>
  <si>
    <t>Stern at NYUAD One-year Full-time MBA</t>
  </si>
  <si>
    <t>Stern at NYUAD One-year Full-time MBA Program</t>
  </si>
  <si>
    <t>Abu Dhabi</t>
  </si>
  <si>
    <t>UAE</t>
  </si>
  <si>
    <t>Not available</t>
  </si>
  <si>
    <t>January</t>
  </si>
  <si>
    <t>Finance, Strategy, Technology, Sustainability</t>
  </si>
  <si>
    <t>NYU Stern at NYUAD Curriculum</t>
  </si>
  <si>
    <t>NYU Stern at NYUAD Student Experience</t>
  </si>
  <si>
    <t>Activities include professional and affinity clubs, speaker series with industry leaders, and various student-led events and conferences.</t>
  </si>
  <si>
    <t>NYU Stern at NYUAD Program Structure</t>
  </si>
  <si>
    <t>The program is inherently global, with two required modules taught at NYU's campus in New York City.</t>
  </si>
  <si>
    <t>NYU Stern at NYUAD Career Development</t>
  </si>
  <si>
    <t>The program offers organized career treks to key business hubs, providing opportunities for networking and industry exposure.</t>
  </si>
  <si>
    <t>NYU Stern Solutions</t>
  </si>
  <si>
    <t>Students must complete a Stern Solutions project, working in teams to tackle real-world business challenges for corporate partners.</t>
  </si>
  <si>
    <t>https://sternad.nyu.edu/programs-admissions/one-year-full-time-mba/tuition-scholarships</t>
  </si>
  <si>
    <t>University of Florida</t>
  </si>
  <si>
    <t>Warrington College of Business</t>
  </si>
  <si>
    <t>Full-Time MBA One-Year - All Majors</t>
  </si>
  <si>
    <t>https://warrington.ufl.edu/mba/program-options/full-time-mba/full-time-mba-one-year-all-majors/</t>
  </si>
  <si>
    <t>Gainesville</t>
  </si>
  <si>
    <t>Finance; Marketing; Strategy; Supply Chain Management; Real Estate</t>
  </si>
  <si>
    <t>`https://warrington.ufl.edu/master-of-business-administration-mba/full-time-mba/academics/curriculum/`</t>
  </si>
  <si>
    <t>`https://warrington.ufl.edu/master-of-business-administration-mba/full-time-mba/student-experience/student-involvement/`</t>
  </si>
  <si>
    <t>Students participate in case competitions, leadership programs (Gator MBA Gear), and over 20 professional, affinity, and special interest student organizations.</t>
  </si>
  <si>
    <t>`https://warrington.ufl.edu/master-of-business-administration-mba/full-time-mba/student-experience/global-immersion/`</t>
  </si>
  <si>
    <t>The program offers faculty-led Global Immersion Experiences (GIE), which are 7-10 day trips to international business hubs.</t>
  </si>
  <si>
    <t>https://warrington.ufl.edu/master-of-business-administration-mba/full-time-mba/career-services/career-treks/`</t>
  </si>
  <si>
    <t>Business Career Services organizes career treks to cities such as Atlanta, New York City, and Charlotte for networking and company visits.</t>
  </si>
  <si>
    <t>`https://warrington.ufl.edu/master-of-business-administration-mba/full-time-mba/academics/experiential-learning/`</t>
  </si>
  <si>
    <t>Includes managing a real investment portfolio in the Gator Student Investment Fund (GSIF), participating in case competitions, and undertaking consulting projects.</t>
  </si>
  <si>
    <t>Yes (Students can receive funding for professional development, including conference attendance.)</t>
  </si>
  <si>
    <t>Yes (Funding is available for relevant certifications, such as Lean Six Sigma.)</t>
  </si>
  <si>
    <t>98% (Offer acceptance within three months of graduation)</t>
  </si>
  <si>
    <t>https://warrington.ufl.edu/mba/full-time-mba/</t>
  </si>
  <si>
    <t>University of Pittsburgh</t>
  </si>
  <si>
    <t>Katz Graduate School of Business</t>
  </si>
  <si>
    <t xml:space="preserve">Accelerated MBA </t>
  </si>
  <si>
    <t>https://business.pitt.edu/mba/accelerated-mba/</t>
  </si>
  <si>
    <t>Students can earn specialized credentials through Katz Certificates in areas like Business Analytics, Corporate Financial Management, Digital Marketing, Global Management, and more.</t>
  </si>
  <si>
    <t>Katz One-Year MBA Curriculum</t>
  </si>
  <si>
    <t>Katz Student Experience</t>
  </si>
  <si>
    <t>Activities include student-run clubs, leadership development programs, case competitions, and networking events that complement the academic curriculum.</t>
  </si>
  <si>
    <t>Katz Global Programs</t>
  </si>
  <si>
    <t>The program offers Global Research Practicums, which are short-term, faculty-led consulting projects with international companies, including travel abroad.</t>
  </si>
  <si>
    <t>Katz Career Management</t>
  </si>
  <si>
    <t>The Career Management and Corporate Engagement team organizes networking and recruiting treks to major cities like New York City, allowing students to connect with alumni and employers.</t>
  </si>
  <si>
    <t>Katz Center for Experiential Learning</t>
  </si>
  <si>
    <t>The Center for Experiential Learning facilitates real-world consulting projects, fellowships, and case competitions where students solve business problems for client organizations.</t>
  </si>
  <si>
    <t>92% (within 3 months of graduation)</t>
  </si>
  <si>
    <t>https://www.tuition.pitt.edu/graduate/tuition/joseph-m-katz-graduate-school-business</t>
  </si>
  <si>
    <t>https://oneyearmba.smeal.psu.edu/</t>
  </si>
  <si>
    <t>316 (159Q, 157V)</t>
  </si>
  <si>
    <t>~35</t>
  </si>
  <si>
    <t>Finance, Marketing, Supply Chain Management, Real Estate, Entrepreneurship &amp; Innovation, Strategic Leadership, Consulting</t>
  </si>
  <si>
    <t>https://www.smeal.psu.edu/mba/one-year-mba/curriculum</t>
  </si>
  <si>
    <t>https://www.smeal.psu.edu/mba/student-experience/clubs-organizations</t>
  </si>
  <si>
    <t>Students engage in various professional and social clubs, case competitions, and leadership development programs like the Sapphire Leadership Academic Program.</t>
  </si>
  <si>
    <t>https://www.smeal.psu.edu/mba/student-experience/global-experiences</t>
  </si>
  <si>
    <t>The program features a required Global Immersion experience, a one-week trip to a foreign country to engage with local businesses and culture.</t>
  </si>
  <si>
    <t>https://www.smeal.psu.edu/mba/career-services/networking</t>
  </si>
  <si>
    <t>The program organizes networking and career treks to major cities like New York City, Philadelphia, and Pittsburgh to connect students with alumni and employers.</t>
  </si>
  <si>
    <t>https://www.smeal.psu.edu/mba/student-experience/leadership-development</t>
  </si>
  <si>
    <t>Opportunities include the Sapphire Leadership Academic Program, case competitions, and consulting practicums that allow students to solve real-world business problems.</t>
  </si>
  <si>
    <t>97% (within 3 months of graduation)</t>
  </si>
  <si>
    <t>https://oneyearmba.smeal.psu.edu/tuition-aid</t>
  </si>
  <si>
    <t>University of Cincinnati</t>
  </si>
  <si>
    <t>Carl H. Lindner College of Business</t>
  </si>
  <si>
    <t>Full-Time MBA</t>
  </si>
  <si>
    <t>https://business.uc.edu/programs-degrees/graduate/mba.html</t>
  </si>
  <si>
    <t>Cincinnati</t>
  </si>
  <si>
    <t>620-650</t>
  </si>
  <si>
    <t>310-315</t>
  </si>
  <si>
    <t>Data Analytics, Health Care Administration, Entrepreneurship, Marketing</t>
  </si>
  <si>
    <t>Students can join various organizations like the MBA Association, Lindner Women in Business, and the Graduate Association for professional development and networking.</t>
  </si>
  <si>
    <t>International Programs</t>
  </si>
  <si>
    <t>MBA students can participate in short-term, faculty-led study abroad programs during academic breaks to locations like Chile, Germany, and Vietnam.</t>
  </si>
  <si>
    <t>City Treks</t>
  </si>
  <si>
    <t>Graduate students travel to major cities like Chicago, Seattle, and Nashville to network with alumni and visit top companies.</t>
  </si>
  <si>
    <t>Students engage in hands-on learning through case competitions, consulting projects for real clients, and venture creation opportunities.</t>
  </si>
  <si>
    <t>https://www.uc.edu/current-students/paying/costs/uc-costs-2025-26.html</t>
  </si>
  <si>
    <t>https://gatton.uky.edu/prc/full-time-mba</t>
  </si>
  <si>
    <t>35-45</t>
  </si>
  <si>
    <t>Entrepreneurship &amp; New Venture Creation, Finance &amp; Analytics, Marketing &amp; Strategy</t>
  </si>
  <si>
    <t>[Curriculum](https://www.google.com/search?q=https://gatton.uky.edu/programs/mba/one-year-mba/curriculum)</t>
  </si>
  <si>
    <t>[Project Connect](https://www.google.com/search?q=https://gatton.uky.edu/programs/mba/one-year-mba/project-connect-internship-program)</t>
  </si>
  <si>
    <t>Project Connect is a built-in internship program where students work with companies to solve real business challenges.</t>
  </si>
  <si>
    <t>(https://www.google.com/search?q=https://gatton.uky.edu/programs/mba/one-year-mba/international-experience)</t>
  </si>
  <si>
    <t>Students can participate in a 10-14 day international trip during the winter term to experience global business firsthand.</t>
  </si>
  <si>
    <t>https://www.google.com/search?q=https://gatton.uky.edu/graham-office-career-management/career-management-services/career-treks)</t>
  </si>
  <si>
    <t>Students travel to various cities like Nashville, Atlanta, and Chicago to network with alumni and visit corporate headquarters.</t>
  </si>
  <si>
    <t>The built-in Project Connect internship provides hands-on, real-world consulting experience with various organizations.</t>
  </si>
  <si>
    <t>94% (within 3 months)</t>
  </si>
  <si>
    <t>https://www.uky.edu/studentacct/tuition_fees.html</t>
  </si>
  <si>
    <t>No 1yr MBA Rankings- Based on Full-Time MBA rankings</t>
  </si>
  <si>
    <t>Not shown for 1yr 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</si>
</sst>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3" formatCode="_(* #,##0.00_);_(* \(#,##0.00\);_(* &quot;-&quot;??_);_(@_)"/>
    <numFmt numFmtId="164" formatCode="0.0"/>
    <numFmt numFmtId="165" formatCode="&quot;$&quot;#,##0"/>
    <numFmt numFmtId="166" formatCode="[$-409]mmm\-yy;@"/>
    <numFmt numFmtId="167" formatCode="&quot;$&quot;#,##0.00"/>
  </numFmts>
  <fonts count="23">
    <font>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1"/>
      <color rgb="FF4472C4"/>
      <name val="Calibri"/>
      <family val="2"/>
      <scheme val="minor"/>
    </font>
    <font>
      <sz val="11"/>
      <color rgb="FF808080"/>
      <name val="Calibri"/>
      <family val="2"/>
      <scheme val="minor"/>
    </font>
    <font>
      <sz val="11"/>
      <name val="Calibri"/>
      <family val="2"/>
      <scheme val="minor"/>
    </font>
    <font>
      <sz val="11"/>
      <color rgb="FFFFFFFF"/>
      <name val="Calibri"/>
      <family val="2"/>
      <scheme val="minor"/>
    </font>
    <font>
      <u/>
      <sz val="11"/>
      <color theme="10"/>
      <name val="Calibri"/>
      <family val="2"/>
      <scheme val="minor"/>
    </font>
    <font>
      <sz val="11"/>
      <color rgb="FF444444"/>
      <name val="Aptos Narrow"/>
    </font>
    <font>
      <sz val="11"/>
      <color rgb="FF000000"/>
      <name val="Calibri"/>
      <family val="2"/>
    </font>
    <font>
      <sz val="11"/>
      <color theme="1"/>
      <name val="Calibri"/>
      <family val="2"/>
      <charset val="1"/>
    </font>
    <font>
      <sz val="11"/>
      <color rgb="FF444444"/>
      <name val="Calibri"/>
      <family val="2"/>
      <scheme val="minor"/>
    </font>
    <font>
      <sz val="11"/>
      <color theme="1"/>
      <name val="Calibri"/>
      <family val="2"/>
      <scheme val="minor"/>
    </font>
    <font>
      <sz val="11"/>
      <color rgb="FF242424"/>
      <name val="Calibri"/>
      <family val="2"/>
      <charset val="1"/>
    </font>
    <font>
      <b/>
      <sz val="11"/>
      <color rgb="FF242424"/>
      <name val="Calibri"/>
      <family val="2"/>
      <charset val="1"/>
    </font>
    <font>
      <u/>
      <sz val="11"/>
      <color rgb="FF0070C0"/>
      <name val="Calibri"/>
      <family val="2"/>
      <scheme val="minor"/>
    </font>
    <font>
      <sz val="11"/>
      <color rgb="FF242424"/>
      <name val="Aptos Narrow"/>
    </font>
    <font>
      <sz val="9.6"/>
      <color theme="1"/>
      <name val="FkGroteskNeue"/>
      <charset val="1"/>
    </font>
    <font>
      <sz val="11"/>
      <color theme="10"/>
      <name val="Calibri"/>
      <family val="2"/>
      <scheme val="minor"/>
    </font>
    <font>
      <sz val="13"/>
      <color rgb="FF1D1F25"/>
      <name val="Helvetica Neue"/>
      <family val="2"/>
    </font>
    <font>
      <sz val="10"/>
      <color rgb="FF1D1F25"/>
      <name val="-Apple-System"/>
      <charset val="1"/>
    </font>
    <font>
      <sz val="11"/>
      <color rgb="FF242424"/>
      <name val="Aptos Narrow"/>
      <charset val="1"/>
    </font>
  </fonts>
  <fills count="13">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rgb="FFFFFFFF"/>
        <bgColor indexed="64"/>
      </patternFill>
    </fill>
    <fill>
      <patternFill patternType="solid">
        <fgColor theme="0"/>
        <bgColor indexed="64"/>
      </patternFill>
    </fill>
    <fill>
      <patternFill patternType="solid">
        <fgColor theme="5" tint="0.79998168889431442"/>
        <bgColor indexed="64"/>
      </patternFill>
    </fill>
    <fill>
      <patternFill patternType="solid">
        <fgColor rgb="FFFFFCF2"/>
        <bgColor indexed="64"/>
      </patternFill>
    </fill>
    <fill>
      <patternFill patternType="solid">
        <fgColor theme="5" tint="-0.249977111117893"/>
        <bgColor indexed="64"/>
      </patternFill>
    </fill>
    <fill>
      <patternFill patternType="solid">
        <fgColor theme="6" tint="0.79998168889431442"/>
        <bgColor indexed="64"/>
      </patternFill>
    </fill>
    <fill>
      <patternFill patternType="solid">
        <fgColor theme="2"/>
        <bgColor indexed="64"/>
      </patternFill>
    </fill>
    <fill>
      <patternFill patternType="solid">
        <fgColor rgb="FFFFC000"/>
        <bgColor indexed="64"/>
      </patternFill>
    </fill>
    <fill>
      <patternFill patternType="solid">
        <fgColor theme="9"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auto="1"/>
      </right>
      <top/>
      <bottom style="thin">
        <color auto="1"/>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3">
    <xf numFmtId="0" fontId="0" fillId="0" borderId="0"/>
    <xf numFmtId="0" fontId="8" fillId="0" borderId="0" applyNumberFormat="0" applyFill="0" applyBorder="0" applyAlignment="0" applyProtection="0"/>
    <xf numFmtId="43" fontId="13" fillId="0" borderId="0" applyFont="0" applyFill="0" applyBorder="0" applyAlignment="0" applyProtection="0"/>
  </cellStyleXfs>
  <cellXfs count="426">
    <xf numFmtId="0" fontId="0" fillId="0" borderId="0" xfId="0"/>
    <xf numFmtId="0" fontId="3" fillId="0" borderId="0" xfId="0" applyFont="1"/>
    <xf numFmtId="0" fontId="3" fillId="0" borderId="0" xfId="0" applyFont="1" applyAlignment="1">
      <alignment horizontal="left"/>
    </xf>
    <xf numFmtId="0" fontId="3" fillId="2" borderId="1" xfId="0" applyFont="1" applyFill="1" applyBorder="1" applyAlignment="1">
      <alignment horizontal="left"/>
    </xf>
    <xf numFmtId="0" fontId="3" fillId="2" borderId="1" xfId="0" applyFont="1" applyFill="1" applyBorder="1"/>
    <xf numFmtId="0" fontId="3" fillId="2" borderId="2" xfId="0" applyFont="1" applyFill="1" applyBorder="1"/>
    <xf numFmtId="0" fontId="3" fillId="0" borderId="1" xfId="0" applyFont="1" applyBorder="1" applyAlignment="1">
      <alignment horizontal="left"/>
    </xf>
    <xf numFmtId="0" fontId="3" fillId="0" borderId="5" xfId="0" applyFont="1" applyBorder="1" applyAlignment="1">
      <alignment horizontal="left" vertical="center"/>
    </xf>
    <xf numFmtId="0" fontId="3" fillId="0" borderId="1" xfId="0" applyFont="1" applyBorder="1"/>
    <xf numFmtId="0" fontId="3" fillId="0" borderId="1" xfId="0" applyFont="1" applyBorder="1" applyAlignment="1">
      <alignment horizontal="left" vertical="center"/>
    </xf>
    <xf numFmtId="0" fontId="3" fillId="0" borderId="6"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6" xfId="0" applyFont="1" applyBorder="1" applyAlignment="1">
      <alignment horizontal="left" vertical="center"/>
    </xf>
    <xf numFmtId="0" fontId="2" fillId="0" borderId="1" xfId="0" applyFont="1" applyBorder="1"/>
    <xf numFmtId="0" fontId="2" fillId="0" borderId="6" xfId="0" applyFont="1" applyBorder="1" applyAlignment="1">
      <alignment horizontal="left" vertical="center"/>
    </xf>
    <xf numFmtId="0" fontId="4" fillId="0" borderId="1" xfId="0" applyFont="1" applyBorder="1"/>
    <xf numFmtId="0" fontId="5" fillId="0" borderId="1" xfId="0" applyFont="1" applyBorder="1"/>
    <xf numFmtId="0" fontId="6" fillId="0" borderId="1" xfId="0" applyFont="1" applyBorder="1" applyAlignment="1">
      <alignment horizontal="left" vertical="center"/>
    </xf>
    <xf numFmtId="0" fontId="7" fillId="0" borderId="1" xfId="0" applyFont="1" applyBorder="1" applyAlignment="1">
      <alignment horizontal="center" vertical="center" wrapText="1"/>
    </xf>
    <xf numFmtId="0" fontId="3" fillId="0" borderId="8" xfId="0" applyFont="1" applyBorder="1" applyAlignment="1">
      <alignment horizontal="left" vertical="center"/>
    </xf>
    <xf numFmtId="0" fontId="10" fillId="0" borderId="0" xfId="0" applyFont="1"/>
    <xf numFmtId="0" fontId="12"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8" fillId="0" borderId="1" xfId="1" applyFill="1" applyBorder="1" applyAlignment="1">
      <alignment horizontal="center" vertical="center"/>
    </xf>
    <xf numFmtId="0" fontId="10" fillId="0" borderId="0" xfId="0" applyFont="1" applyAlignment="1">
      <alignment horizontal="center" vertical="center" wrapText="1"/>
    </xf>
    <xf numFmtId="0" fontId="0" fillId="0" borderId="0" xfId="0" applyAlignment="1">
      <alignment horizontal="left" vertical="center" wrapText="1"/>
    </xf>
    <xf numFmtId="0" fontId="14" fillId="4" borderId="0" xfId="0" applyFont="1" applyFill="1" applyAlignment="1">
      <alignment wrapText="1"/>
    </xf>
    <xf numFmtId="0" fontId="15" fillId="4" borderId="0" xfId="0" applyFont="1" applyFill="1" applyAlignment="1">
      <alignment wrapText="1"/>
    </xf>
    <xf numFmtId="0" fontId="0" fillId="0" borderId="9" xfId="0" applyBorder="1" applyAlignment="1">
      <alignment horizontal="center" vertical="center" wrapText="1"/>
    </xf>
    <xf numFmtId="0" fontId="0" fillId="3" borderId="0" xfId="0" applyFill="1"/>
    <xf numFmtId="0" fontId="0" fillId="5" borderId="0" xfId="0" applyFill="1"/>
    <xf numFmtId="0" fontId="0" fillId="3" borderId="9" xfId="0" applyFill="1" applyBorder="1" applyAlignment="1">
      <alignment wrapText="1"/>
    </xf>
    <xf numFmtId="0" fontId="0" fillId="0" borderId="9" xfId="0" applyBorder="1" applyAlignment="1">
      <alignment horizontal="center"/>
    </xf>
    <xf numFmtId="0" fontId="8" fillId="0" borderId="9" xfId="1" applyFill="1" applyBorder="1" applyAlignment="1">
      <alignment horizontal="center"/>
    </xf>
    <xf numFmtId="0" fontId="8" fillId="0" borderId="9" xfId="1" applyFill="1" applyBorder="1" applyAlignment="1">
      <alignment horizontal="center" vertical="center"/>
    </xf>
    <xf numFmtId="0" fontId="0" fillId="0" borderId="9" xfId="0" applyBorder="1" applyAlignment="1">
      <alignment horizontal="center" vertical="center"/>
    </xf>
    <xf numFmtId="0" fontId="0" fillId="5" borderId="0" xfId="0" applyFill="1" applyAlignment="1">
      <alignment wrapText="1"/>
    </xf>
    <xf numFmtId="0" fontId="8" fillId="0" borderId="0" xfId="1" applyAlignment="1">
      <alignment horizontal="center" vertical="center"/>
    </xf>
    <xf numFmtId="0" fontId="0" fillId="3" borderId="9" xfId="0" applyFill="1" applyBorder="1" applyAlignment="1">
      <alignment horizontal="center" vertical="center" wrapText="1"/>
    </xf>
    <xf numFmtId="0" fontId="8" fillId="0" borderId="9" xfId="1" applyBorder="1" applyAlignment="1">
      <alignment horizontal="center" vertical="center"/>
    </xf>
    <xf numFmtId="0" fontId="0" fillId="0" borderId="9" xfId="0" applyBorder="1" applyAlignment="1">
      <alignment horizontal="left"/>
    </xf>
    <xf numFmtId="0" fontId="8" fillId="0" borderId="9" xfId="1" applyBorder="1" applyAlignment="1">
      <alignment horizontal="center"/>
    </xf>
    <xf numFmtId="2" fontId="0" fillId="0" borderId="0" xfId="0" applyNumberFormat="1" applyAlignment="1">
      <alignment horizontal="center" vertical="center" wrapText="1"/>
    </xf>
    <xf numFmtId="0" fontId="8" fillId="5" borderId="1" xfId="1" applyFill="1" applyBorder="1" applyAlignment="1">
      <alignment horizontal="center" vertical="center"/>
    </xf>
    <xf numFmtId="9" fontId="8" fillId="5" borderId="1" xfId="1" applyNumberFormat="1" applyFill="1" applyBorder="1" applyAlignment="1">
      <alignment horizontal="center" vertical="center"/>
    </xf>
    <xf numFmtId="0" fontId="0" fillId="5" borderId="0" xfId="0" applyFill="1" applyAlignment="1">
      <alignment horizontal="center" vertical="center" wrapText="1"/>
    </xf>
    <xf numFmtId="9" fontId="0" fillId="0" borderId="9" xfId="0" applyNumberFormat="1" applyBorder="1" applyAlignment="1">
      <alignment horizontal="center" vertical="center"/>
    </xf>
    <xf numFmtId="9" fontId="8" fillId="0" borderId="9" xfId="1" applyNumberFormat="1" applyBorder="1" applyAlignment="1">
      <alignment horizontal="center" vertical="center"/>
    </xf>
    <xf numFmtId="0" fontId="3" fillId="5" borderId="1" xfId="1" applyFont="1" applyFill="1" applyBorder="1" applyAlignment="1">
      <alignment horizontal="center" vertical="center"/>
    </xf>
    <xf numFmtId="0" fontId="8" fillId="0" borderId="0" xfId="1" applyFill="1" applyAlignment="1">
      <alignment horizontal="center" vertical="center"/>
    </xf>
    <xf numFmtId="0" fontId="0" fillId="5" borderId="9" xfId="0" applyFill="1" applyBorder="1" applyAlignment="1">
      <alignment horizontal="center" vertical="center"/>
    </xf>
    <xf numFmtId="0" fontId="0" fillId="3" borderId="0" xfId="0" applyFill="1" applyAlignment="1">
      <alignment horizontal="center" vertical="center" wrapText="1"/>
    </xf>
    <xf numFmtId="0" fontId="8" fillId="0" borderId="0" xfId="1" applyAlignment="1">
      <alignment horizontal="center" vertical="center" wrapText="1"/>
    </xf>
    <xf numFmtId="0" fontId="18" fillId="0" borderId="0" xfId="0" applyFont="1" applyAlignment="1">
      <alignment horizontal="center" vertical="center" wrapText="1"/>
    </xf>
    <xf numFmtId="0" fontId="0" fillId="0" borderId="0" xfId="0" applyAlignment="1">
      <alignment vertical="center"/>
    </xf>
    <xf numFmtId="0" fontId="0" fillId="5" borderId="12" xfId="0" applyFill="1" applyBorder="1" applyAlignment="1">
      <alignment horizontal="center" vertical="center"/>
    </xf>
    <xf numFmtId="0" fontId="0" fillId="5" borderId="9" xfId="0" applyFill="1" applyBorder="1" applyAlignment="1">
      <alignment horizontal="center"/>
    </xf>
    <xf numFmtId="0" fontId="8" fillId="5" borderId="9" xfId="1" applyFill="1" applyBorder="1" applyAlignment="1">
      <alignment horizontal="center"/>
    </xf>
    <xf numFmtId="0" fontId="0" fillId="0" borderId="18" xfId="0" applyBorder="1" applyAlignment="1">
      <alignment horizontal="center" vertical="center"/>
    </xf>
    <xf numFmtId="0" fontId="0" fillId="9" borderId="0" xfId="0" applyFill="1" applyAlignment="1">
      <alignment horizontal="center" vertical="center" wrapText="1"/>
    </xf>
    <xf numFmtId="0" fontId="0" fillId="3" borderId="9" xfId="0" applyFill="1" applyBorder="1"/>
    <xf numFmtId="0" fontId="10" fillId="3" borderId="9" xfId="0" applyFont="1" applyFill="1" applyBorder="1"/>
    <xf numFmtId="0" fontId="9" fillId="3" borderId="9" xfId="0" applyFont="1" applyFill="1" applyBorder="1"/>
    <xf numFmtId="0" fontId="3" fillId="5" borderId="9" xfId="0" applyFont="1" applyFill="1" applyBorder="1"/>
    <xf numFmtId="0" fontId="0" fillId="5" borderId="9" xfId="0" applyFill="1" applyBorder="1"/>
    <xf numFmtId="0" fontId="8" fillId="5" borderId="9" xfId="1" applyFill="1" applyBorder="1" applyAlignment="1"/>
    <xf numFmtId="0" fontId="8" fillId="5" borderId="9" xfId="1" applyFill="1" applyBorder="1" applyAlignment="1">
      <alignment horizontal="center" vertical="center"/>
    </xf>
    <xf numFmtId="9" fontId="8" fillId="5" borderId="9" xfId="1" applyNumberFormat="1" applyFill="1" applyBorder="1" applyAlignment="1">
      <alignment horizontal="center" vertical="center"/>
    </xf>
    <xf numFmtId="49" fontId="0" fillId="5" borderId="9" xfId="0" applyNumberFormat="1" applyFill="1" applyBorder="1" applyAlignment="1">
      <alignment horizontal="center" vertical="center"/>
    </xf>
    <xf numFmtId="0" fontId="0" fillId="5" borderId="10" xfId="0" applyFill="1" applyBorder="1" applyAlignment="1">
      <alignment horizontal="center" vertical="center"/>
    </xf>
    <xf numFmtId="0" fontId="0" fillId="0" borderId="9" xfId="0" applyBorder="1"/>
    <xf numFmtId="0" fontId="8" fillId="0" borderId="9" xfId="1" applyBorder="1" applyAlignment="1"/>
    <xf numFmtId="0" fontId="3" fillId="0" borderId="9" xfId="0" applyFont="1" applyBorder="1" applyAlignment="1">
      <alignment horizontal="center" vertical="center"/>
    </xf>
    <xf numFmtId="10" fontId="8" fillId="0" borderId="9" xfId="1" applyNumberFormat="1" applyBorder="1" applyAlignment="1">
      <alignment horizontal="center" vertical="center"/>
    </xf>
    <xf numFmtId="10" fontId="8" fillId="0" borderId="9" xfId="1" applyNumberFormat="1" applyFill="1" applyBorder="1" applyAlignment="1">
      <alignment horizontal="center" vertical="center"/>
    </xf>
    <xf numFmtId="49" fontId="0" fillId="0" borderId="9" xfId="0" applyNumberFormat="1" applyBorder="1" applyAlignment="1">
      <alignment horizontal="center" vertical="center"/>
    </xf>
    <xf numFmtId="0" fontId="0" fillId="0" borderId="12" xfId="0" applyBorder="1" applyAlignment="1">
      <alignment horizontal="center" vertical="center"/>
    </xf>
    <xf numFmtId="49" fontId="8" fillId="0" borderId="9" xfId="1" applyNumberFormat="1" applyBorder="1" applyAlignment="1">
      <alignment horizontal="center" vertical="center"/>
    </xf>
    <xf numFmtId="0" fontId="3" fillId="5" borderId="9" xfId="1" applyFont="1" applyFill="1" applyBorder="1" applyAlignment="1">
      <alignment horizontal="center" vertical="center"/>
    </xf>
    <xf numFmtId="0" fontId="19" fillId="5" borderId="9" xfId="1" applyFont="1" applyFill="1" applyBorder="1" applyAlignment="1">
      <alignment horizontal="center" vertical="center"/>
    </xf>
    <xf numFmtId="10" fontId="8" fillId="5" borderId="9" xfId="1" applyNumberFormat="1" applyFill="1" applyBorder="1" applyAlignment="1">
      <alignment horizontal="center" vertical="center"/>
    </xf>
    <xf numFmtId="0" fontId="3" fillId="3" borderId="9" xfId="0" applyFont="1" applyFill="1" applyBorder="1"/>
    <xf numFmtId="0" fontId="12" fillId="3" borderId="9" xfId="0" applyFont="1" applyFill="1" applyBorder="1"/>
    <xf numFmtId="0" fontId="3" fillId="3" borderId="9" xfId="0" applyFont="1" applyFill="1" applyBorder="1" applyAlignment="1">
      <alignment horizontal="left"/>
    </xf>
    <xf numFmtId="0" fontId="10" fillId="3" borderId="9" xfId="0" applyFont="1" applyFill="1" applyBorder="1" applyAlignment="1">
      <alignment horizontal="center" vertical="center"/>
    </xf>
    <xf numFmtId="0" fontId="10" fillId="0" borderId="9" xfId="0" applyFont="1" applyBorder="1" applyAlignment="1">
      <alignment horizontal="center" vertical="center"/>
    </xf>
    <xf numFmtId="0" fontId="10" fillId="0" borderId="1" xfId="0" applyFont="1" applyBorder="1" applyAlignment="1">
      <alignment horizontal="center" vertical="center"/>
    </xf>
    <xf numFmtId="0" fontId="12" fillId="0" borderId="1" xfId="0" applyFont="1" applyBorder="1" applyAlignment="1">
      <alignment horizontal="center" vertical="center"/>
    </xf>
    <xf numFmtId="6" fontId="10" fillId="0" borderId="9" xfId="0" applyNumberFormat="1" applyFont="1" applyBorder="1" applyAlignment="1">
      <alignment horizontal="center" vertical="center"/>
    </xf>
    <xf numFmtId="0" fontId="10" fillId="0" borderId="0" xfId="0" applyFont="1" applyAlignment="1">
      <alignment horizontal="center" vertical="center"/>
    </xf>
    <xf numFmtId="16" fontId="0" fillId="0" borderId="9" xfId="0" applyNumberFormat="1" applyBorder="1" applyAlignment="1">
      <alignment horizontal="center" vertical="center"/>
    </xf>
    <xf numFmtId="0" fontId="0" fillId="0" borderId="9" xfId="0" applyBorder="1" applyAlignment="1">
      <alignment horizontal="left" vertical="center"/>
    </xf>
    <xf numFmtId="6" fontId="0" fillId="0" borderId="9" xfId="0" applyNumberFormat="1" applyBorder="1" applyAlignment="1">
      <alignment horizontal="center" vertical="center"/>
    </xf>
    <xf numFmtId="6" fontId="8" fillId="0" borderId="9" xfId="1" applyNumberFormat="1" applyFill="1" applyBorder="1" applyAlignment="1">
      <alignment horizontal="center" vertical="center"/>
    </xf>
    <xf numFmtId="43" fontId="0" fillId="0" borderId="9" xfId="2" applyFont="1" applyFill="1" applyBorder="1" applyAlignment="1">
      <alignment horizontal="center" vertical="center"/>
    </xf>
    <xf numFmtId="9" fontId="8" fillId="0" borderId="9" xfId="1" applyNumberFormat="1" applyFill="1" applyBorder="1" applyAlignment="1">
      <alignment horizontal="center" vertical="center"/>
    </xf>
    <xf numFmtId="6" fontId="0" fillId="0" borderId="9" xfId="2" applyNumberFormat="1" applyFont="1" applyFill="1" applyBorder="1" applyAlignment="1">
      <alignment horizontal="center" vertical="center"/>
    </xf>
    <xf numFmtId="0" fontId="0" fillId="0" borderId="1" xfId="0" applyBorder="1" applyAlignment="1">
      <alignment horizontal="center" vertical="center"/>
    </xf>
    <xf numFmtId="6" fontId="8" fillId="0" borderId="9" xfId="1" applyNumberFormat="1" applyBorder="1" applyAlignment="1">
      <alignment horizontal="center" vertical="center"/>
    </xf>
    <xf numFmtId="8" fontId="0" fillId="0" borderId="9" xfId="0" applyNumberFormat="1" applyBorder="1" applyAlignment="1">
      <alignment horizontal="center" vertical="center"/>
    </xf>
    <xf numFmtId="0" fontId="12" fillId="3" borderId="9" xfId="0" applyFont="1" applyFill="1" applyBorder="1" applyAlignment="1">
      <alignment horizontal="center" vertical="center"/>
    </xf>
    <xf numFmtId="10" fontId="0" fillId="0" borderId="9" xfId="0" applyNumberFormat="1" applyBorder="1" applyAlignment="1">
      <alignment horizontal="center" vertical="center"/>
    </xf>
    <xf numFmtId="0" fontId="8" fillId="0" borderId="12" xfId="1" applyBorder="1" applyAlignment="1">
      <alignment horizontal="center" vertical="center"/>
    </xf>
    <xf numFmtId="0" fontId="10" fillId="3" borderId="1" xfId="0" applyFont="1" applyFill="1" applyBorder="1" applyAlignment="1">
      <alignment vertical="center"/>
    </xf>
    <xf numFmtId="0" fontId="10" fillId="3" borderId="1" xfId="0" applyFont="1" applyFill="1" applyBorder="1" applyAlignment="1">
      <alignment horizontal="center" vertical="center"/>
    </xf>
    <xf numFmtId="0" fontId="10" fillId="3" borderId="1" xfId="0" applyFont="1" applyFill="1" applyBorder="1" applyAlignment="1">
      <alignment horizontal="left" vertical="center"/>
    </xf>
    <xf numFmtId="0" fontId="3"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3" fillId="3" borderId="1" xfId="0" applyFont="1" applyFill="1" applyBorder="1" applyAlignment="1">
      <alignment horizontal="left" vertical="center"/>
    </xf>
    <xf numFmtId="0" fontId="0" fillId="3" borderId="1" xfId="0" applyFill="1" applyBorder="1" applyAlignment="1">
      <alignment horizontal="left" vertical="center"/>
    </xf>
    <xf numFmtId="0" fontId="10" fillId="5" borderId="1" xfId="0" applyFont="1" applyFill="1" applyBorder="1" applyAlignment="1">
      <alignment horizontal="center" vertical="center"/>
    </xf>
    <xf numFmtId="0" fontId="10" fillId="5" borderId="1" xfId="0" applyFont="1" applyFill="1" applyBorder="1" applyAlignment="1">
      <alignment horizontal="left" vertical="center"/>
    </xf>
    <xf numFmtId="0" fontId="3" fillId="5" borderId="1" xfId="0" applyFont="1" applyFill="1" applyBorder="1" applyAlignment="1">
      <alignment horizontal="center" vertical="center"/>
    </xf>
    <xf numFmtId="6" fontId="8" fillId="5" borderId="1" xfId="1" applyNumberFormat="1" applyFill="1" applyBorder="1" applyAlignment="1">
      <alignment horizontal="center" vertical="center"/>
    </xf>
    <xf numFmtId="164" fontId="0" fillId="5" borderId="1" xfId="0" applyNumberFormat="1" applyFill="1" applyBorder="1" applyAlignment="1">
      <alignment horizontal="center" vertical="center"/>
    </xf>
    <xf numFmtId="0" fontId="0" fillId="5" borderId="0" xfId="0" applyFill="1" applyAlignment="1">
      <alignment horizontal="center" vertical="center"/>
    </xf>
    <xf numFmtId="0" fontId="10" fillId="5" borderId="0" xfId="0" applyFont="1" applyFill="1" applyAlignment="1">
      <alignment horizontal="center" vertical="center"/>
    </xf>
    <xf numFmtId="0" fontId="0" fillId="5" borderId="1" xfId="0" applyFill="1" applyBorder="1" applyAlignment="1">
      <alignment horizontal="center" vertical="center"/>
    </xf>
    <xf numFmtId="0" fontId="8" fillId="5" borderId="14" xfId="1" applyFill="1" applyBorder="1" applyAlignment="1">
      <alignment horizontal="center" vertical="center"/>
    </xf>
    <xf numFmtId="6" fontId="0" fillId="5" borderId="1" xfId="0" applyNumberFormat="1" applyFill="1" applyBorder="1" applyAlignment="1">
      <alignment horizontal="center" vertical="center"/>
    </xf>
    <xf numFmtId="0" fontId="0" fillId="5" borderId="1" xfId="0" applyFill="1" applyBorder="1" applyAlignment="1">
      <alignment horizontal="left" vertical="center"/>
    </xf>
    <xf numFmtId="0" fontId="8" fillId="5" borderId="4" xfId="1" applyFill="1" applyBorder="1" applyAlignment="1">
      <alignment horizontal="center" vertical="center"/>
    </xf>
    <xf numFmtId="2" fontId="0" fillId="5" borderId="1" xfId="0" applyNumberFormat="1" applyFill="1" applyBorder="1" applyAlignment="1">
      <alignment horizontal="center" vertical="center"/>
    </xf>
    <xf numFmtId="16" fontId="0" fillId="5" borderId="1" xfId="0" applyNumberFormat="1" applyFill="1" applyBorder="1" applyAlignment="1">
      <alignment horizontal="center" vertical="center"/>
    </xf>
    <xf numFmtId="16" fontId="8" fillId="5" borderId="1" xfId="1" applyNumberFormat="1" applyFill="1" applyBorder="1" applyAlignment="1">
      <alignment horizontal="left" vertical="center"/>
    </xf>
    <xf numFmtId="0" fontId="0" fillId="5" borderId="14" xfId="0" applyFill="1" applyBorder="1" applyAlignment="1">
      <alignment horizontal="center" vertical="center"/>
    </xf>
    <xf numFmtId="0" fontId="0" fillId="5" borderId="6" xfId="0" applyFill="1" applyBorder="1" applyAlignment="1">
      <alignment horizontal="center" vertical="center"/>
    </xf>
    <xf numFmtId="0" fontId="0" fillId="0" borderId="0" xfId="0" applyAlignment="1">
      <alignment horizontal="left" vertical="center"/>
    </xf>
    <xf numFmtId="0" fontId="2" fillId="3" borderId="1" xfId="0" applyFont="1" applyFill="1" applyBorder="1" applyAlignment="1">
      <alignment horizontal="left" vertical="center"/>
    </xf>
    <xf numFmtId="9" fontId="0" fillId="5" borderId="1" xfId="0" applyNumberFormat="1" applyFill="1" applyBorder="1" applyAlignment="1">
      <alignment horizontal="center" vertical="center"/>
    </xf>
    <xf numFmtId="6" fontId="3" fillId="5" borderId="1" xfId="0" applyNumberFormat="1" applyFont="1" applyFill="1" applyBorder="1" applyAlignment="1">
      <alignment horizontal="center" vertical="center"/>
    </xf>
    <xf numFmtId="2" fontId="0" fillId="0" borderId="9" xfId="0" applyNumberFormat="1"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3" borderId="9" xfId="0" applyFill="1" applyBorder="1" applyAlignment="1">
      <alignment horizontal="center" vertical="center"/>
    </xf>
    <xf numFmtId="0" fontId="8" fillId="5" borderId="12" xfId="1" applyFill="1" applyBorder="1" applyAlignment="1"/>
    <xf numFmtId="0" fontId="0" fillId="5" borderId="12" xfId="0" applyFill="1" applyBorder="1"/>
    <xf numFmtId="0" fontId="8" fillId="5" borderId="0" xfId="1" applyFill="1" applyAlignment="1"/>
    <xf numFmtId="0" fontId="8" fillId="0" borderId="9" xfId="1" applyFill="1" applyBorder="1" applyAlignment="1"/>
    <xf numFmtId="9" fontId="0" fillId="5" borderId="9" xfId="0" applyNumberFormat="1" applyFill="1" applyBorder="1" applyAlignment="1">
      <alignment horizontal="center" vertical="center"/>
    </xf>
    <xf numFmtId="16" fontId="8" fillId="5" borderId="9" xfId="1" applyNumberFormat="1" applyFill="1" applyBorder="1" applyAlignment="1">
      <alignment horizontal="center" vertical="center"/>
    </xf>
    <xf numFmtId="6" fontId="0" fillId="5" borderId="9" xfId="0" applyNumberFormat="1" applyFill="1" applyBorder="1" applyAlignment="1">
      <alignment horizontal="center" vertical="center"/>
    </xf>
    <xf numFmtId="49" fontId="8" fillId="0" borderId="9" xfId="1" applyNumberFormat="1" applyFill="1" applyBorder="1" applyAlignment="1">
      <alignment horizontal="center" vertical="center"/>
    </xf>
    <xf numFmtId="0" fontId="0" fillId="0" borderId="10" xfId="0" applyBorder="1" applyAlignment="1">
      <alignment horizontal="center" vertical="center"/>
    </xf>
    <xf numFmtId="0" fontId="8" fillId="0" borderId="10" xfId="1" applyBorder="1" applyAlignment="1">
      <alignment horizontal="center" vertical="center"/>
    </xf>
    <xf numFmtId="0" fontId="0" fillId="3" borderId="11" xfId="0" applyFill="1" applyBorder="1" applyAlignment="1">
      <alignment horizontal="center" vertical="center"/>
    </xf>
    <xf numFmtId="0" fontId="9" fillId="3" borderId="9" xfId="0" applyFont="1" applyFill="1" applyBorder="1" applyAlignment="1">
      <alignment horizontal="center" vertical="center"/>
    </xf>
    <xf numFmtId="6" fontId="16" fillId="0" borderId="9" xfId="1" applyNumberFormat="1" applyFont="1" applyBorder="1" applyAlignment="1">
      <alignment horizontal="center" vertical="center"/>
    </xf>
    <xf numFmtId="0" fontId="8" fillId="5" borderId="12" xfId="1" applyFill="1" applyBorder="1" applyAlignment="1">
      <alignment horizontal="center" vertical="center"/>
    </xf>
    <xf numFmtId="0" fontId="10" fillId="5" borderId="12" xfId="0" applyFont="1" applyFill="1" applyBorder="1" applyAlignment="1">
      <alignment horizontal="center" vertical="center"/>
    </xf>
    <xf numFmtId="0" fontId="3" fillId="0" borderId="1" xfId="1" applyFont="1" applyFill="1" applyBorder="1" applyAlignment="1">
      <alignment horizontal="center" vertical="center"/>
    </xf>
    <xf numFmtId="2" fontId="3" fillId="0" borderId="1" xfId="1" applyNumberFormat="1" applyFont="1" applyFill="1" applyBorder="1" applyAlignment="1">
      <alignment horizontal="center" vertical="center"/>
    </xf>
    <xf numFmtId="2" fontId="3" fillId="5" borderId="1" xfId="0" applyNumberFormat="1" applyFont="1" applyFill="1" applyBorder="1" applyAlignment="1">
      <alignment horizontal="center" vertical="center"/>
    </xf>
    <xf numFmtId="165" fontId="0" fillId="5" borderId="9" xfId="0" applyNumberFormat="1" applyFill="1" applyBorder="1" applyAlignment="1">
      <alignment horizontal="center" vertical="center"/>
    </xf>
    <xf numFmtId="2" fontId="0" fillId="3" borderId="9" xfId="0" applyNumberFormat="1" applyFill="1" applyBorder="1" applyAlignment="1">
      <alignment horizontal="center" vertical="center"/>
    </xf>
    <xf numFmtId="2" fontId="0" fillId="5" borderId="9" xfId="0" applyNumberFormat="1" applyFill="1" applyBorder="1" applyAlignment="1">
      <alignment horizontal="center" vertical="center"/>
    </xf>
    <xf numFmtId="0" fontId="3" fillId="0" borderId="9" xfId="1" applyFont="1" applyFill="1" applyBorder="1" applyAlignment="1">
      <alignment horizontal="center" vertical="center"/>
    </xf>
    <xf numFmtId="49" fontId="8" fillId="5" borderId="9" xfId="1" applyNumberFormat="1" applyFill="1" applyBorder="1" applyAlignment="1">
      <alignment horizontal="center" vertical="center"/>
    </xf>
    <xf numFmtId="0" fontId="10" fillId="5" borderId="9" xfId="0" applyFont="1" applyFill="1" applyBorder="1" applyAlignment="1">
      <alignment horizontal="center" vertical="center"/>
    </xf>
    <xf numFmtId="165" fontId="0" fillId="0" borderId="9" xfId="0" applyNumberFormat="1" applyBorder="1" applyAlignment="1">
      <alignment horizontal="center" vertical="center"/>
    </xf>
    <xf numFmtId="165" fontId="8" fillId="5" borderId="9" xfId="1" applyNumberFormat="1" applyFill="1" applyBorder="1" applyAlignment="1">
      <alignment horizontal="center" vertical="center"/>
    </xf>
    <xf numFmtId="0" fontId="3" fillId="3" borderId="9" xfId="0" applyFont="1" applyFill="1" applyBorder="1" applyAlignment="1">
      <alignment horizontal="left" vertical="center"/>
    </xf>
    <xf numFmtId="0" fontId="3" fillId="3" borderId="9" xfId="1" applyFont="1" applyFill="1" applyBorder="1" applyAlignment="1">
      <alignment vertical="center"/>
    </xf>
    <xf numFmtId="49" fontId="0" fillId="0" borderId="9" xfId="0" applyNumberFormat="1" applyBorder="1" applyAlignment="1">
      <alignment horizontal="center"/>
    </xf>
    <xf numFmtId="166" fontId="0" fillId="0" borderId="9" xfId="0" applyNumberFormat="1" applyBorder="1" applyAlignment="1">
      <alignment horizontal="center"/>
    </xf>
    <xf numFmtId="166" fontId="0" fillId="0" borderId="9" xfId="0" applyNumberFormat="1" applyBorder="1" applyAlignment="1">
      <alignment horizontal="center" vertical="center"/>
    </xf>
    <xf numFmtId="0" fontId="12" fillId="0" borderId="1" xfId="0" applyFont="1" applyBorder="1" applyAlignment="1">
      <alignment horizontal="left" vertical="center"/>
    </xf>
    <xf numFmtId="0" fontId="8" fillId="0" borderId="9" xfId="1" applyFill="1" applyBorder="1" applyAlignment="1">
      <alignment horizontal="left" vertical="center"/>
    </xf>
    <xf numFmtId="6" fontId="0" fillId="0" borderId="9" xfId="0" applyNumberFormat="1" applyBorder="1" applyAlignment="1">
      <alignment horizontal="center"/>
    </xf>
    <xf numFmtId="6" fontId="8" fillId="0" borderId="0" xfId="1" applyNumberFormat="1" applyAlignment="1">
      <alignment horizontal="center"/>
    </xf>
    <xf numFmtId="6" fontId="8" fillId="0" borderId="9" xfId="1" applyNumberFormat="1" applyBorder="1" applyAlignment="1">
      <alignment horizontal="center"/>
    </xf>
    <xf numFmtId="8" fontId="0" fillId="0" borderId="9" xfId="0" applyNumberFormat="1" applyBorder="1" applyAlignment="1">
      <alignment horizontal="center"/>
    </xf>
    <xf numFmtId="0" fontId="8" fillId="0" borderId="0" xfId="1" applyAlignment="1">
      <alignment horizontal="center"/>
    </xf>
    <xf numFmtId="9" fontId="0" fillId="0" borderId="9" xfId="2" applyNumberFormat="1" applyFont="1" applyFill="1" applyBorder="1" applyAlignment="1">
      <alignment horizontal="center" vertical="center"/>
    </xf>
    <xf numFmtId="164" fontId="0" fillId="0" borderId="9" xfId="0" applyNumberFormat="1" applyBorder="1" applyAlignment="1">
      <alignment horizontal="center"/>
    </xf>
    <xf numFmtId="49" fontId="0" fillId="5" borderId="1" xfId="0" applyNumberFormat="1" applyFill="1" applyBorder="1" applyAlignment="1">
      <alignment horizontal="center" vertical="center"/>
    </xf>
    <xf numFmtId="0" fontId="0" fillId="3" borderId="10" xfId="0" applyFill="1" applyBorder="1"/>
    <xf numFmtId="0" fontId="3" fillId="3" borderId="9" xfId="0" applyFont="1" applyFill="1" applyBorder="1" applyAlignment="1">
      <alignment horizontal="center" vertical="center"/>
    </xf>
    <xf numFmtId="164" fontId="0" fillId="5" borderId="9" xfId="0" applyNumberFormat="1" applyFill="1" applyBorder="1" applyAlignment="1">
      <alignment horizontal="center"/>
    </xf>
    <xf numFmtId="167" fontId="0" fillId="0" borderId="9" xfId="0" applyNumberFormat="1" applyBorder="1" applyAlignment="1">
      <alignment horizontal="center"/>
    </xf>
    <xf numFmtId="0" fontId="19" fillId="0" borderId="9" xfId="1" applyFont="1" applyFill="1" applyBorder="1" applyAlignment="1">
      <alignment horizontal="center" vertical="center"/>
    </xf>
    <xf numFmtId="0" fontId="0" fillId="0" borderId="9" xfId="0" applyBorder="1" applyAlignment="1">
      <alignment vertical="center"/>
    </xf>
    <xf numFmtId="0" fontId="8" fillId="0" borderId="9" xfId="1" applyBorder="1" applyAlignment="1">
      <alignment horizontal="left"/>
    </xf>
    <xf numFmtId="0" fontId="8" fillId="0" borderId="9" xfId="1" applyBorder="1" applyAlignment="1">
      <alignment horizontal="left" vertical="center"/>
    </xf>
    <xf numFmtId="0" fontId="10" fillId="0" borderId="9" xfId="0" applyFont="1" applyBorder="1" applyAlignment="1">
      <alignment horizontal="left" vertical="center"/>
    </xf>
    <xf numFmtId="0" fontId="0" fillId="3" borderId="9" xfId="0" applyFill="1" applyBorder="1" applyAlignment="1">
      <alignment vertical="center"/>
    </xf>
    <xf numFmtId="0" fontId="10" fillId="0" borderId="0" xfId="0" applyFont="1" applyAlignment="1">
      <alignment vertical="center"/>
    </xf>
    <xf numFmtId="0" fontId="0" fillId="3" borderId="9" xfId="0" applyFill="1" applyBorder="1" applyAlignment="1">
      <alignment horizontal="left" vertical="center"/>
    </xf>
    <xf numFmtId="0" fontId="10" fillId="5" borderId="9" xfId="0" applyFont="1" applyFill="1" applyBorder="1" applyAlignment="1">
      <alignment horizontal="left" vertical="center"/>
    </xf>
    <xf numFmtId="0" fontId="11" fillId="3" borderId="9" xfId="0" applyFont="1" applyFill="1" applyBorder="1" applyAlignment="1">
      <alignment horizontal="left" vertical="center"/>
    </xf>
    <xf numFmtId="6" fontId="0" fillId="0" borderId="10" xfId="0" applyNumberFormat="1" applyBorder="1" applyAlignment="1">
      <alignment horizontal="center" vertical="center"/>
    </xf>
    <xf numFmtId="8" fontId="0" fillId="0" borderId="6" xfId="0" applyNumberFormat="1" applyBorder="1" applyAlignment="1">
      <alignment horizontal="center" vertical="center"/>
    </xf>
    <xf numFmtId="8" fontId="8" fillId="0" borderId="11" xfId="1" applyNumberFormat="1" applyBorder="1" applyAlignment="1">
      <alignment horizontal="center" vertical="center"/>
    </xf>
    <xf numFmtId="8" fontId="0" fillId="0" borderId="12" xfId="0" applyNumberFormat="1" applyBorder="1" applyAlignment="1">
      <alignment horizontal="center" vertical="center"/>
    </xf>
    <xf numFmtId="6" fontId="8" fillId="0" borderId="10" xfId="1" applyNumberFormat="1" applyBorder="1" applyAlignment="1">
      <alignment horizontal="center" vertical="center"/>
    </xf>
    <xf numFmtId="0" fontId="8" fillId="0" borderId="0" xfId="1" applyFill="1" applyAlignment="1">
      <alignment horizontal="left" vertical="center"/>
    </xf>
    <xf numFmtId="6" fontId="8" fillId="0" borderId="6" xfId="1" applyNumberFormat="1" applyBorder="1" applyAlignment="1">
      <alignment horizontal="center" vertical="center"/>
    </xf>
    <xf numFmtId="0" fontId="0" fillId="5" borderId="9" xfId="1" applyFont="1" applyFill="1" applyBorder="1" applyAlignment="1">
      <alignment horizontal="left" vertical="center"/>
    </xf>
    <xf numFmtId="0" fontId="11" fillId="0" borderId="9" xfId="0" applyFont="1" applyBorder="1" applyAlignment="1">
      <alignment horizontal="left" vertical="center"/>
    </xf>
    <xf numFmtId="0" fontId="8" fillId="5" borderId="9" xfId="1" applyFill="1" applyBorder="1" applyAlignment="1">
      <alignment horizontal="left" vertical="center"/>
    </xf>
    <xf numFmtId="0" fontId="3" fillId="0" borderId="9" xfId="1" applyFont="1" applyFill="1" applyBorder="1" applyAlignment="1">
      <alignment horizontal="left" vertical="center"/>
    </xf>
    <xf numFmtId="0" fontId="3" fillId="0" borderId="11" xfId="1" applyFont="1" applyBorder="1" applyAlignment="1">
      <alignment horizontal="center" vertical="center"/>
    </xf>
    <xf numFmtId="0" fontId="3" fillId="3" borderId="1" xfId="1" applyFont="1" applyFill="1" applyBorder="1" applyAlignment="1">
      <alignment vertical="center"/>
    </xf>
    <xf numFmtId="0" fontId="8" fillId="5" borderId="1" xfId="1" applyFill="1" applyBorder="1" applyAlignment="1">
      <alignment horizontal="left" vertical="center"/>
    </xf>
    <xf numFmtId="0" fontId="12" fillId="5" borderId="1" xfId="0" applyFont="1" applyFill="1" applyBorder="1" applyAlignment="1">
      <alignment horizontal="left" vertical="center"/>
    </xf>
    <xf numFmtId="0" fontId="3" fillId="5" borderId="9" xfId="0" applyFont="1" applyFill="1" applyBorder="1" applyAlignment="1">
      <alignment vertical="center"/>
    </xf>
    <xf numFmtId="0" fontId="8" fillId="5" borderId="2" xfId="1" applyFill="1" applyBorder="1" applyAlignment="1">
      <alignment horizontal="left" vertical="center"/>
    </xf>
    <xf numFmtId="0" fontId="3" fillId="3" borderId="3" xfId="0" applyFont="1" applyFill="1" applyBorder="1" applyAlignment="1">
      <alignment horizontal="left" vertical="center"/>
    </xf>
    <xf numFmtId="20" fontId="0" fillId="5" borderId="9" xfId="0" applyNumberFormat="1" applyFill="1" applyBorder="1" applyAlignment="1">
      <alignment vertical="center"/>
    </xf>
    <xf numFmtId="0" fontId="0" fillId="5" borderId="9" xfId="0" applyFill="1" applyBorder="1" applyAlignment="1">
      <alignment vertical="center"/>
    </xf>
    <xf numFmtId="0" fontId="0" fillId="5" borderId="10" xfId="0" applyFill="1" applyBorder="1" applyAlignment="1">
      <alignment vertical="center"/>
    </xf>
    <xf numFmtId="0" fontId="0" fillId="5" borderId="12" xfId="0" applyFill="1" applyBorder="1" applyAlignment="1">
      <alignment vertical="center"/>
    </xf>
    <xf numFmtId="0" fontId="10" fillId="0" borderId="14" xfId="0" applyFont="1" applyBorder="1" applyAlignment="1">
      <alignment horizontal="center" vertical="center"/>
    </xf>
    <xf numFmtId="0" fontId="8" fillId="5" borderId="6" xfId="1" applyFill="1" applyBorder="1" applyAlignment="1">
      <alignment horizontal="left" vertical="center"/>
    </xf>
    <xf numFmtId="0" fontId="8" fillId="5" borderId="10" xfId="1" applyFill="1" applyBorder="1" applyAlignment="1">
      <alignment horizontal="left" vertical="center"/>
    </xf>
    <xf numFmtId="165" fontId="8" fillId="5" borderId="1" xfId="1" applyNumberFormat="1" applyFill="1" applyBorder="1" applyAlignment="1">
      <alignment horizontal="center" vertical="center"/>
    </xf>
    <xf numFmtId="165" fontId="8" fillId="0" borderId="9" xfId="1" applyNumberFormat="1" applyBorder="1" applyAlignment="1">
      <alignment horizontal="center" vertical="center"/>
    </xf>
    <xf numFmtId="165" fontId="8" fillId="5" borderId="14" xfId="1" applyNumberFormat="1" applyFill="1" applyBorder="1" applyAlignment="1">
      <alignment horizontal="center" vertical="center"/>
    </xf>
    <xf numFmtId="165" fontId="8" fillId="5" borderId="4" xfId="1" applyNumberFormat="1" applyFill="1" applyBorder="1" applyAlignment="1">
      <alignment horizontal="center" vertical="center"/>
    </xf>
    <xf numFmtId="165" fontId="0" fillId="5" borderId="1" xfId="0" applyNumberFormat="1" applyFill="1" applyBorder="1" applyAlignment="1">
      <alignment horizontal="center" vertical="center"/>
    </xf>
    <xf numFmtId="0" fontId="0" fillId="0" borderId="1" xfId="0" applyBorder="1" applyAlignment="1">
      <alignment horizontal="left" vertical="center"/>
    </xf>
    <xf numFmtId="16" fontId="0" fillId="5" borderId="1" xfId="0" applyNumberFormat="1" applyFill="1" applyBorder="1" applyAlignment="1">
      <alignment horizontal="left" vertical="center"/>
    </xf>
    <xf numFmtId="0" fontId="8" fillId="0" borderId="1" xfId="1" applyBorder="1" applyAlignment="1">
      <alignment horizontal="left" vertical="center"/>
    </xf>
    <xf numFmtId="0" fontId="0" fillId="5" borderId="1" xfId="0" applyFill="1" applyBorder="1" applyAlignment="1">
      <alignment vertical="center"/>
    </xf>
    <xf numFmtId="6" fontId="8" fillId="0" borderId="0" xfId="1" applyNumberFormat="1" applyAlignment="1">
      <alignment horizontal="center" vertical="center"/>
    </xf>
    <xf numFmtId="9" fontId="0" fillId="0" borderId="0" xfId="0" applyNumberFormat="1" applyAlignment="1">
      <alignment horizontal="center" vertical="center"/>
    </xf>
    <xf numFmtId="10" fontId="0" fillId="0" borderId="11" xfId="0" applyNumberFormat="1" applyBorder="1" applyAlignment="1">
      <alignment horizontal="center" vertical="center"/>
    </xf>
    <xf numFmtId="9" fontId="0" fillId="0" borderId="11" xfId="0" applyNumberFormat="1" applyBorder="1" applyAlignment="1">
      <alignment horizontal="center" vertical="center"/>
    </xf>
    <xf numFmtId="0" fontId="18" fillId="0" borderId="0" xfId="0" applyFont="1"/>
    <xf numFmtId="0" fontId="8" fillId="0" borderId="0" xfId="1" applyBorder="1" applyAlignment="1"/>
    <xf numFmtId="0" fontId="0" fillId="7" borderId="9" xfId="0" applyFill="1" applyBorder="1" applyAlignment="1">
      <alignment horizontal="left" vertical="center"/>
    </xf>
    <xf numFmtId="0" fontId="3" fillId="0" borderId="9" xfId="0" applyFont="1" applyBorder="1" applyAlignment="1">
      <alignment horizontal="left" vertical="center"/>
    </xf>
    <xf numFmtId="0" fontId="0" fillId="0" borderId="9" xfId="1" applyFont="1" applyBorder="1" applyAlignment="1">
      <alignment horizontal="left" vertical="center"/>
    </xf>
    <xf numFmtId="0" fontId="10" fillId="0" borderId="9" xfId="0" applyFont="1" applyBorder="1" applyAlignment="1">
      <alignment horizontal="center" vertical="center" wrapText="1"/>
    </xf>
    <xf numFmtId="0" fontId="10" fillId="0" borderId="9" xfId="0" applyFont="1" applyBorder="1" applyAlignment="1">
      <alignment vertical="center"/>
    </xf>
    <xf numFmtId="16" fontId="0" fillId="0" borderId="9" xfId="0" applyNumberFormat="1" applyBorder="1" applyAlignment="1">
      <alignment vertical="center"/>
    </xf>
    <xf numFmtId="0" fontId="8" fillId="0" borderId="12" xfId="1" applyBorder="1" applyAlignment="1">
      <alignment horizontal="left" vertical="center"/>
    </xf>
    <xf numFmtId="0" fontId="0" fillId="0" borderId="11" xfId="0" applyBorder="1" applyAlignment="1">
      <alignment horizontal="left" vertical="center"/>
    </xf>
    <xf numFmtId="6" fontId="8" fillId="0" borderId="12" xfId="1" applyNumberFormat="1" applyBorder="1" applyAlignment="1">
      <alignment horizontal="center" vertical="center"/>
    </xf>
    <xf numFmtId="2" fontId="3" fillId="0" borderId="9" xfId="1" applyNumberFormat="1" applyFont="1" applyFill="1" applyBorder="1" applyAlignment="1">
      <alignment horizontal="center" vertical="center"/>
    </xf>
    <xf numFmtId="0" fontId="3" fillId="0" borderId="6" xfId="0" applyFont="1" applyBorder="1" applyAlignment="1">
      <alignment horizontal="center" vertical="center"/>
    </xf>
    <xf numFmtId="0" fontId="3" fillId="0" borderId="6" xfId="1" applyFont="1" applyBorder="1" applyAlignment="1">
      <alignment horizontal="center" vertical="center"/>
    </xf>
    <xf numFmtId="0" fontId="3" fillId="0" borderId="9" xfId="1" quotePrefix="1" applyFont="1" applyBorder="1" applyAlignment="1">
      <alignment horizontal="center" vertical="center"/>
    </xf>
    <xf numFmtId="0" fontId="3" fillId="0" borderId="9" xfId="1" applyFont="1" applyBorder="1" applyAlignment="1">
      <alignment horizontal="center" vertical="center"/>
    </xf>
    <xf numFmtId="165" fontId="10" fillId="0" borderId="9" xfId="0" applyNumberFormat="1" applyFont="1" applyBorder="1" applyAlignment="1">
      <alignment horizontal="center" vertical="center"/>
    </xf>
    <xf numFmtId="0" fontId="8" fillId="0" borderId="11" xfId="1" applyFill="1" applyBorder="1" applyAlignment="1">
      <alignment horizontal="center" vertical="center"/>
    </xf>
    <xf numFmtId="17" fontId="0" fillId="5" borderId="9" xfId="0" applyNumberFormat="1" applyFill="1" applyBorder="1" applyAlignment="1">
      <alignment vertical="center"/>
    </xf>
    <xf numFmtId="0" fontId="0" fillId="5" borderId="9" xfId="0" applyFill="1" applyBorder="1" applyAlignment="1">
      <alignment horizontal="left" vertical="center"/>
    </xf>
    <xf numFmtId="0" fontId="0" fillId="5" borderId="12" xfId="0" applyFill="1" applyBorder="1" applyAlignment="1">
      <alignment horizontal="left" vertical="center"/>
    </xf>
    <xf numFmtId="0" fontId="0" fillId="5" borderId="12" xfId="0" applyFill="1" applyBorder="1" applyAlignment="1">
      <alignment horizontal="center"/>
    </xf>
    <xf numFmtId="0" fontId="8" fillId="5" borderId="0" xfId="1" applyFill="1" applyAlignment="1">
      <alignment horizontal="left" vertical="center"/>
    </xf>
    <xf numFmtId="0" fontId="8" fillId="0" borderId="9" xfId="1" applyBorder="1"/>
    <xf numFmtId="6" fontId="0" fillId="5" borderId="9" xfId="0" applyNumberFormat="1" applyFill="1" applyBorder="1" applyAlignment="1">
      <alignment horizontal="center"/>
    </xf>
    <xf numFmtId="6" fontId="0" fillId="5" borderId="6" xfId="0" applyNumberFormat="1" applyFill="1" applyBorder="1" applyAlignment="1">
      <alignment horizontal="center"/>
    </xf>
    <xf numFmtId="6" fontId="0" fillId="0" borderId="6" xfId="0" applyNumberFormat="1" applyBorder="1" applyAlignment="1">
      <alignment horizontal="center"/>
    </xf>
    <xf numFmtId="0" fontId="3" fillId="0" borderId="9" xfId="1" applyFont="1" applyBorder="1" applyAlignment="1">
      <alignment horizontal="center"/>
    </xf>
    <xf numFmtId="165" fontId="0" fillId="0" borderId="9" xfId="0" applyNumberFormat="1" applyBorder="1" applyAlignment="1">
      <alignment horizontal="center"/>
    </xf>
    <xf numFmtId="165" fontId="8" fillId="0" borderId="9" xfId="1" applyNumberForma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3" fillId="0" borderId="6" xfId="1" applyFont="1" applyFill="1" applyBorder="1" applyAlignment="1">
      <alignment horizontal="center" vertical="center"/>
    </xf>
    <xf numFmtId="0" fontId="0" fillId="0" borderId="6" xfId="0" applyBorder="1" applyAlignment="1">
      <alignment horizontal="center"/>
    </xf>
    <xf numFmtId="6" fontId="0" fillId="0" borderId="11" xfId="0" applyNumberFormat="1" applyBorder="1" applyAlignment="1">
      <alignment horizontal="center" vertical="center"/>
    </xf>
    <xf numFmtId="6" fontId="0" fillId="0" borderId="12" xfId="0" applyNumberFormat="1" applyBorder="1" applyAlignment="1">
      <alignment horizontal="center" vertical="center"/>
    </xf>
    <xf numFmtId="8" fontId="0" fillId="0" borderId="11" xfId="0" applyNumberFormat="1" applyBorder="1" applyAlignment="1">
      <alignment horizontal="center" vertical="center"/>
    </xf>
    <xf numFmtId="167" fontId="0" fillId="0" borderId="9" xfId="0" applyNumberFormat="1" applyBorder="1" applyAlignment="1">
      <alignment horizontal="center" vertical="center"/>
    </xf>
    <xf numFmtId="164" fontId="0" fillId="5" borderId="9" xfId="0" applyNumberFormat="1" applyFill="1" applyBorder="1" applyAlignment="1">
      <alignment horizontal="center" vertical="center"/>
    </xf>
    <xf numFmtId="164" fontId="0" fillId="0" borderId="9" xfId="0" applyNumberFormat="1" applyBorder="1" applyAlignment="1">
      <alignment horizontal="center" vertical="center"/>
    </xf>
    <xf numFmtId="0" fontId="8" fillId="0" borderId="0" xfId="1" applyAlignment="1">
      <alignment horizontal="left" vertical="center"/>
    </xf>
    <xf numFmtId="0" fontId="3" fillId="0" borderId="0" xfId="1" applyFont="1" applyAlignment="1">
      <alignment horizontal="center" vertical="center"/>
    </xf>
    <xf numFmtId="0" fontId="8" fillId="0" borderId="18" xfId="1" applyBorder="1" applyAlignment="1">
      <alignment horizontal="left" vertical="center"/>
    </xf>
    <xf numFmtId="0" fontId="8" fillId="0" borderId="18" xfId="1" applyFill="1" applyBorder="1" applyAlignment="1">
      <alignment horizontal="left" vertical="center"/>
    </xf>
    <xf numFmtId="165" fontId="0" fillId="5" borderId="12" xfId="0" applyNumberFormat="1" applyFill="1" applyBorder="1" applyAlignment="1">
      <alignment horizontal="center" vertical="center"/>
    </xf>
    <xf numFmtId="165" fontId="8" fillId="0" borderId="12" xfId="1" applyNumberFormat="1" applyBorder="1" applyAlignment="1">
      <alignment horizontal="center" vertical="center"/>
    </xf>
    <xf numFmtId="165" fontId="0" fillId="0" borderId="12" xfId="0" applyNumberFormat="1" applyBorder="1" applyAlignment="1">
      <alignment horizontal="center" vertical="center"/>
    </xf>
    <xf numFmtId="0" fontId="3" fillId="0" borderId="12" xfId="1" applyFont="1" applyBorder="1" applyAlignment="1">
      <alignment horizontal="center" vertical="center"/>
    </xf>
    <xf numFmtId="0" fontId="3" fillId="0" borderId="12" xfId="1" applyFont="1" applyFill="1" applyBorder="1" applyAlignment="1">
      <alignment horizontal="center" vertical="center"/>
    </xf>
    <xf numFmtId="0" fontId="0" fillId="8" borderId="9" xfId="0" applyFill="1" applyBorder="1" applyAlignment="1">
      <alignment horizontal="center" vertical="center"/>
    </xf>
    <xf numFmtId="0" fontId="0" fillId="6" borderId="9" xfId="0" applyFill="1" applyBorder="1" applyAlignment="1">
      <alignment horizontal="center" vertical="center"/>
    </xf>
    <xf numFmtId="0" fontId="0" fillId="0" borderId="16" xfId="0" applyBorder="1" applyAlignment="1">
      <alignment horizontal="center" vertical="center"/>
    </xf>
    <xf numFmtId="0" fontId="0" fillId="8" borderId="0" xfId="0" applyFill="1" applyAlignment="1">
      <alignment horizontal="center" vertical="center"/>
    </xf>
    <xf numFmtId="0" fontId="3" fillId="6" borderId="0" xfId="0" applyFont="1" applyFill="1" applyAlignment="1">
      <alignment horizontal="center" vertical="center"/>
    </xf>
    <xf numFmtId="6" fontId="3" fillId="0" borderId="9" xfId="1" applyNumberFormat="1" applyFont="1" applyBorder="1" applyAlignment="1">
      <alignment horizontal="center" vertical="center"/>
    </xf>
    <xf numFmtId="0" fontId="0" fillId="3" borderId="0" xfId="0" applyFill="1" applyAlignment="1">
      <alignment horizontal="center" vertical="center"/>
    </xf>
    <xf numFmtId="0" fontId="0" fillId="11" borderId="0" xfId="0" applyFill="1" applyAlignment="1">
      <alignment horizontal="left" wrapText="1"/>
    </xf>
    <xf numFmtId="0" fontId="3" fillId="11" borderId="1" xfId="1" applyFont="1" applyFill="1" applyBorder="1" applyAlignment="1">
      <alignment horizontal="center" vertical="center"/>
    </xf>
    <xf numFmtId="0" fontId="8" fillId="11" borderId="1" xfId="1" applyFill="1" applyBorder="1" applyAlignment="1">
      <alignment horizontal="center" vertical="center"/>
    </xf>
    <xf numFmtId="9" fontId="8" fillId="11" borderId="1" xfId="1" applyNumberFormat="1" applyFill="1" applyBorder="1" applyAlignment="1">
      <alignment horizontal="center" vertical="center"/>
    </xf>
    <xf numFmtId="10" fontId="8" fillId="11" borderId="1" xfId="1" applyNumberFormat="1" applyFill="1" applyBorder="1" applyAlignment="1">
      <alignment horizontal="center" vertical="center"/>
    </xf>
    <xf numFmtId="0" fontId="3" fillId="11" borderId="1" xfId="0" applyFont="1" applyFill="1" applyBorder="1" applyAlignment="1">
      <alignment horizontal="center" vertical="center"/>
    </xf>
    <xf numFmtId="0" fontId="0" fillId="11" borderId="1" xfId="0" applyFill="1" applyBorder="1" applyAlignment="1">
      <alignment horizontal="center" vertical="center"/>
    </xf>
    <xf numFmtId="0" fontId="8" fillId="11" borderId="1" xfId="1" applyFill="1" applyBorder="1" applyAlignment="1">
      <alignment horizontal="left" vertical="center"/>
    </xf>
    <xf numFmtId="0" fontId="3" fillId="11" borderId="2" xfId="0" applyFont="1" applyFill="1" applyBorder="1" applyAlignment="1">
      <alignment horizontal="center" vertical="center"/>
    </xf>
    <xf numFmtId="9" fontId="0" fillId="11" borderId="1" xfId="0" applyNumberFormat="1" applyFill="1" applyBorder="1" applyAlignment="1">
      <alignment horizontal="center" vertical="center"/>
    </xf>
    <xf numFmtId="10" fontId="0" fillId="11" borderId="1" xfId="0" applyNumberFormat="1" applyFill="1" applyBorder="1" applyAlignment="1">
      <alignment horizontal="center" vertical="center"/>
    </xf>
    <xf numFmtId="0" fontId="3" fillId="11" borderId="0" xfId="0" applyFont="1" applyFill="1" applyAlignment="1">
      <alignment horizontal="center" vertical="center"/>
    </xf>
    <xf numFmtId="0" fontId="3" fillId="11" borderId="13" xfId="0" applyFont="1" applyFill="1" applyBorder="1" applyAlignment="1">
      <alignment horizontal="center" vertical="center"/>
    </xf>
    <xf numFmtId="0" fontId="17" fillId="0" borderId="0" xfId="0" applyFont="1"/>
    <xf numFmtId="0" fontId="0" fillId="12" borderId="12" xfId="0" applyFill="1" applyBorder="1" applyAlignment="1">
      <alignment horizontal="center" vertical="center"/>
    </xf>
    <xf numFmtId="0" fontId="8" fillId="12" borderId="9" xfId="1" applyFill="1" applyBorder="1" applyAlignment="1">
      <alignment horizontal="center" vertical="center"/>
    </xf>
    <xf numFmtId="0" fontId="3" fillId="12" borderId="9" xfId="1" applyFont="1" applyFill="1" applyBorder="1" applyAlignment="1">
      <alignment horizontal="center" vertical="center"/>
    </xf>
    <xf numFmtId="9" fontId="3" fillId="12" borderId="9" xfId="1" applyNumberFormat="1" applyFont="1" applyFill="1" applyBorder="1" applyAlignment="1">
      <alignment horizontal="center" vertical="center"/>
    </xf>
    <xf numFmtId="0" fontId="0" fillId="12" borderId="9" xfId="0" applyFill="1" applyBorder="1" applyAlignment="1">
      <alignment horizontal="center" vertical="center"/>
    </xf>
    <xf numFmtId="0" fontId="3" fillId="12" borderId="9" xfId="0" applyFont="1" applyFill="1" applyBorder="1" applyAlignment="1">
      <alignment horizontal="center" vertical="center"/>
    </xf>
    <xf numFmtId="10" fontId="3" fillId="12" borderId="9" xfId="1" applyNumberFormat="1" applyFont="1" applyFill="1" applyBorder="1" applyAlignment="1">
      <alignment horizontal="center" vertical="center"/>
    </xf>
    <xf numFmtId="0" fontId="0" fillId="12" borderId="0" xfId="0" applyFill="1" applyAlignment="1">
      <alignment horizontal="center" vertical="center" wrapText="1"/>
    </xf>
    <xf numFmtId="8" fontId="10" fillId="0" borderId="9" xfId="0" applyNumberFormat="1" applyFont="1" applyBorder="1" applyAlignment="1">
      <alignment horizontal="center" vertical="center"/>
    </xf>
    <xf numFmtId="0" fontId="1" fillId="3" borderId="9" xfId="0" applyFont="1" applyFill="1" applyBorder="1" applyAlignment="1">
      <alignment horizontal="center" vertical="center"/>
    </xf>
    <xf numFmtId="0" fontId="1" fillId="3" borderId="0" xfId="0" applyFont="1" applyFill="1" applyAlignment="1">
      <alignment horizontal="center" vertical="center"/>
    </xf>
    <xf numFmtId="0" fontId="1" fillId="5" borderId="9" xfId="0" applyFont="1" applyFill="1" applyBorder="1" applyAlignment="1">
      <alignment horizontal="center" vertical="center"/>
    </xf>
    <xf numFmtId="0" fontId="1" fillId="0" borderId="9" xfId="0" applyFont="1" applyBorder="1" applyAlignment="1">
      <alignment horizontal="center" vertical="center"/>
    </xf>
    <xf numFmtId="6" fontId="1" fillId="5" borderId="9" xfId="0" applyNumberFormat="1" applyFont="1" applyFill="1" applyBorder="1" applyAlignment="1">
      <alignment horizontal="center" vertical="center"/>
    </xf>
    <xf numFmtId="2" fontId="1" fillId="0" borderId="9" xfId="0" applyNumberFormat="1" applyFont="1" applyBorder="1" applyAlignment="1">
      <alignment horizontal="center" vertical="center"/>
    </xf>
    <xf numFmtId="6" fontId="1" fillId="0" borderId="9" xfId="0" applyNumberFormat="1" applyFont="1" applyBorder="1" applyAlignment="1">
      <alignment horizontal="center" vertical="center"/>
    </xf>
    <xf numFmtId="9" fontId="1" fillId="0" borderId="9" xfId="0" applyNumberFormat="1" applyFont="1" applyBorder="1" applyAlignment="1">
      <alignment horizontal="center" vertical="center"/>
    </xf>
    <xf numFmtId="8" fontId="1" fillId="0" borderId="9" xfId="0" applyNumberFormat="1" applyFont="1" applyBorder="1" applyAlignment="1">
      <alignment horizontal="center" vertical="center"/>
    </xf>
    <xf numFmtId="0" fontId="1" fillId="0" borderId="9" xfId="0" quotePrefix="1" applyFont="1" applyBorder="1" applyAlignment="1">
      <alignment horizontal="center" vertical="center"/>
    </xf>
    <xf numFmtId="165" fontId="0" fillId="5" borderId="6" xfId="0" applyNumberFormat="1" applyFill="1" applyBorder="1" applyAlignment="1">
      <alignment horizontal="center"/>
    </xf>
    <xf numFmtId="165" fontId="0" fillId="0" borderId="6" xfId="0" applyNumberFormat="1" applyBorder="1" applyAlignment="1">
      <alignment horizontal="center"/>
    </xf>
    <xf numFmtId="0" fontId="0" fillId="3" borderId="1" xfId="0" applyFill="1" applyBorder="1"/>
    <xf numFmtId="0" fontId="0" fillId="5" borderId="1" xfId="0" applyFill="1" applyBorder="1"/>
    <xf numFmtId="43" fontId="1" fillId="0" borderId="9" xfId="2" applyFont="1" applyFill="1" applyBorder="1" applyAlignment="1">
      <alignment horizontal="center" vertical="center"/>
    </xf>
    <xf numFmtId="6" fontId="1" fillId="0" borderId="9" xfId="2" applyNumberFormat="1" applyFont="1" applyFill="1" applyBorder="1" applyAlignment="1">
      <alignment horizontal="center" vertical="center"/>
    </xf>
    <xf numFmtId="0" fontId="1" fillId="0" borderId="9" xfId="1" applyFont="1" applyBorder="1" applyAlignment="1">
      <alignment horizontal="left" vertical="center"/>
    </xf>
    <xf numFmtId="0" fontId="1" fillId="3" borderId="1" xfId="1" applyFont="1" applyFill="1" applyBorder="1" applyAlignment="1">
      <alignment vertical="center"/>
    </xf>
    <xf numFmtId="0" fontId="1" fillId="5" borderId="1" xfId="1" applyFont="1" applyFill="1" applyBorder="1" applyAlignment="1">
      <alignment horizontal="left" vertical="center"/>
    </xf>
    <xf numFmtId="0" fontId="1" fillId="0" borderId="1" xfId="1" applyFont="1" applyBorder="1" applyAlignment="1">
      <alignment horizontal="left" vertical="center"/>
    </xf>
    <xf numFmtId="0" fontId="10" fillId="3" borderId="11" xfId="0" applyFont="1" applyFill="1" applyBorder="1" applyAlignment="1">
      <alignment horizontal="center" vertical="center"/>
    </xf>
    <xf numFmtId="0" fontId="10" fillId="0" borderId="11" xfId="0" applyFont="1" applyBorder="1" applyAlignment="1">
      <alignment horizontal="center" vertical="center"/>
    </xf>
    <xf numFmtId="165" fontId="10" fillId="5" borderId="0" xfId="0" applyNumberFormat="1" applyFont="1" applyFill="1" applyAlignment="1">
      <alignment horizontal="center" vertical="center"/>
    </xf>
    <xf numFmtId="0" fontId="3" fillId="5" borderId="9" xfId="0" applyFont="1" applyFill="1" applyBorder="1" applyAlignment="1">
      <alignment horizontal="center" vertical="center"/>
    </xf>
    <xf numFmtId="9" fontId="3" fillId="0" borderId="9" xfId="0" applyNumberFormat="1" applyFont="1" applyBorder="1" applyAlignment="1">
      <alignment horizontal="center" vertical="center"/>
    </xf>
    <xf numFmtId="6" fontId="3" fillId="0" borderId="9" xfId="0" applyNumberFormat="1" applyFont="1" applyBorder="1" applyAlignment="1">
      <alignment horizontal="center" vertical="center"/>
    </xf>
    <xf numFmtId="0" fontId="0" fillId="5" borderId="3" xfId="0" applyFill="1" applyBorder="1"/>
    <xf numFmtId="0" fontId="0" fillId="5" borderId="1" xfId="0" applyFill="1" applyBorder="1" applyAlignment="1">
      <alignment horizontal="center"/>
    </xf>
    <xf numFmtId="10" fontId="0" fillId="5" borderId="9" xfId="0" applyNumberFormat="1" applyFill="1" applyBorder="1"/>
    <xf numFmtId="10" fontId="0" fillId="0" borderId="0" xfId="0" applyNumberFormat="1" applyAlignment="1">
      <alignment horizontal="center" vertical="center" wrapText="1"/>
    </xf>
    <xf numFmtId="0" fontId="10" fillId="0" borderId="6" xfId="0" applyFont="1" applyBorder="1" applyAlignment="1">
      <alignment horizontal="center" vertical="center"/>
    </xf>
    <xf numFmtId="6" fontId="8" fillId="0" borderId="6" xfId="1" applyNumberFormat="1" applyBorder="1" applyAlignment="1">
      <alignment horizontal="center"/>
    </xf>
    <xf numFmtId="43" fontId="0" fillId="0" borderId="6" xfId="2" applyFont="1" applyFill="1" applyBorder="1" applyAlignment="1">
      <alignment horizontal="center" vertical="center"/>
    </xf>
    <xf numFmtId="0" fontId="10" fillId="3" borderId="10" xfId="0" applyFont="1" applyFill="1" applyBorder="1"/>
    <xf numFmtId="6" fontId="8" fillId="0" borderId="9" xfId="1" applyNumberFormat="1" applyBorder="1"/>
    <xf numFmtId="6" fontId="22" fillId="0" borderId="9" xfId="0" applyNumberFormat="1" applyFont="1" applyBorder="1" applyAlignment="1">
      <alignment horizontal="center"/>
    </xf>
    <xf numFmtId="0" fontId="8" fillId="0" borderId="6" xfId="1" applyBorder="1" applyAlignment="1">
      <alignment horizontal="center"/>
    </xf>
    <xf numFmtId="6" fontId="8" fillId="0" borderId="6" xfId="1" applyNumberFormat="1" applyBorder="1"/>
    <xf numFmtId="8" fontId="0" fillId="0" borderId="10" xfId="0" applyNumberFormat="1" applyBorder="1" applyAlignment="1">
      <alignment horizontal="center"/>
    </xf>
    <xf numFmtId="6" fontId="0" fillId="0" borderId="6" xfId="0" applyNumberFormat="1" applyBorder="1" applyAlignment="1">
      <alignment horizontal="center" vertical="center"/>
    </xf>
    <xf numFmtId="6" fontId="0" fillId="0" borderId="9" xfId="0" applyNumberFormat="1" applyBorder="1" applyAlignment="1">
      <alignment vertical="center"/>
    </xf>
    <xf numFmtId="6" fontId="0" fillId="0" borderId="9" xfId="0" applyNumberFormat="1" applyBorder="1"/>
    <xf numFmtId="3" fontId="0" fillId="0" borderId="6" xfId="0" applyNumberFormat="1" applyBorder="1" applyAlignment="1">
      <alignment horizontal="center" vertical="center"/>
    </xf>
    <xf numFmtId="0" fontId="10" fillId="3" borderId="10" xfId="0" applyFont="1" applyFill="1" applyBorder="1" applyAlignment="1">
      <alignment horizontal="center" vertical="center"/>
    </xf>
    <xf numFmtId="0" fontId="0" fillId="0" borderId="5" xfId="0" applyBorder="1" applyAlignment="1">
      <alignment horizontal="center" vertical="center"/>
    </xf>
    <xf numFmtId="6" fontId="0" fillId="0" borderId="10" xfId="0" applyNumberFormat="1" applyBorder="1" applyAlignment="1">
      <alignment vertical="center"/>
    </xf>
    <xf numFmtId="6" fontId="0" fillId="0" borderId="10" xfId="0" applyNumberFormat="1" applyBorder="1"/>
    <xf numFmtId="8" fontId="8" fillId="0" borderId="10" xfId="1" applyNumberFormat="1" applyBorder="1" applyAlignment="1">
      <alignment vertical="center"/>
    </xf>
    <xf numFmtId="0" fontId="10" fillId="5" borderId="2" xfId="0" applyFont="1" applyFill="1" applyBorder="1" applyAlignment="1">
      <alignment horizontal="center" vertical="center"/>
    </xf>
    <xf numFmtId="0" fontId="0" fillId="5" borderId="2" xfId="0" applyFill="1" applyBorder="1" applyAlignment="1">
      <alignment horizontal="center" vertical="center"/>
    </xf>
    <xf numFmtId="0" fontId="8" fillId="5" borderId="2" xfId="1" applyFill="1" applyBorder="1" applyAlignment="1">
      <alignment horizontal="center" vertical="center"/>
    </xf>
    <xf numFmtId="165" fontId="8" fillId="5" borderId="1" xfId="1" applyNumberFormat="1" applyFill="1" applyBorder="1" applyAlignment="1">
      <alignment horizontal="right" vertical="center"/>
    </xf>
    <xf numFmtId="6" fontId="8" fillId="5" borderId="9" xfId="1" applyNumberFormat="1" applyFill="1" applyBorder="1" applyAlignment="1">
      <alignment horizontal="right" vertical="center"/>
    </xf>
    <xf numFmtId="0" fontId="8" fillId="5" borderId="12" xfId="1" applyFill="1" applyBorder="1" applyAlignment="1">
      <alignment horizontal="right" vertical="center"/>
    </xf>
    <xf numFmtId="6" fontId="3" fillId="5" borderId="2" xfId="0" applyNumberFormat="1" applyFont="1" applyFill="1" applyBorder="1" applyAlignment="1">
      <alignment horizontal="center" vertical="center"/>
    </xf>
    <xf numFmtId="6" fontId="0" fillId="5" borderId="9" xfId="0" applyNumberFormat="1" applyFill="1" applyBorder="1" applyAlignment="1">
      <alignment horizontal="right" vertical="center" wrapText="1"/>
    </xf>
    <xf numFmtId="6" fontId="8" fillId="5" borderId="9" xfId="1" applyNumberFormat="1" applyFill="1" applyBorder="1" applyAlignment="1">
      <alignment horizontal="right" vertical="center" wrapText="1"/>
    </xf>
    <xf numFmtId="8" fontId="8" fillId="5" borderId="9" xfId="1" applyNumberFormat="1" applyFill="1" applyBorder="1" applyAlignment="1">
      <alignment horizontal="right" vertical="center" wrapText="1"/>
    </xf>
    <xf numFmtId="0" fontId="8" fillId="5" borderId="9" xfId="1" applyFill="1" applyBorder="1" applyAlignment="1">
      <alignment horizontal="right" vertical="center" wrapText="1"/>
    </xf>
    <xf numFmtId="6" fontId="8" fillId="0" borderId="9" xfId="1" applyNumberFormat="1" applyBorder="1" applyAlignment="1">
      <alignment horizontal="right" vertical="center" wrapText="1"/>
    </xf>
    <xf numFmtId="6" fontId="8" fillId="0" borderId="10" xfId="1" applyNumberFormat="1" applyBorder="1" applyAlignment="1">
      <alignment horizontal="right" vertical="center" wrapText="1"/>
    </xf>
    <xf numFmtId="6" fontId="8" fillId="0" borderId="9" xfId="1" applyNumberFormat="1" applyBorder="1" applyAlignment="1">
      <alignment horizontal="right" vertical="center"/>
    </xf>
    <xf numFmtId="6" fontId="8" fillId="0" borderId="0" xfId="1" applyNumberFormat="1" applyAlignment="1">
      <alignment horizontal="right" vertical="center"/>
    </xf>
    <xf numFmtId="6" fontId="8" fillId="0" borderId="12" xfId="1" applyNumberFormat="1" applyBorder="1" applyAlignment="1">
      <alignment horizontal="right" vertical="center"/>
    </xf>
    <xf numFmtId="0" fontId="8" fillId="0" borderId="9" xfId="1" applyBorder="1" applyAlignment="1">
      <alignment horizontal="right" vertical="center"/>
    </xf>
    <xf numFmtId="10" fontId="0" fillId="3" borderId="1" xfId="0" applyNumberFormat="1" applyFill="1" applyBorder="1" applyAlignment="1">
      <alignment horizontal="center"/>
    </xf>
    <xf numFmtId="0" fontId="8" fillId="0" borderId="17" xfId="1" applyBorder="1" applyAlignment="1">
      <alignment horizontal="center" vertical="center"/>
    </xf>
    <xf numFmtId="0" fontId="0" fillId="0" borderId="9" xfId="0" applyBorder="1" applyAlignment="1">
      <alignment horizontal="center" vertical="center" indent="1"/>
    </xf>
    <xf numFmtId="0" fontId="0" fillId="10" borderId="9" xfId="0" applyFill="1" applyBorder="1" applyAlignment="1">
      <alignment horizontal="center" vertical="center"/>
    </xf>
    <xf numFmtId="0" fontId="20" fillId="0" borderId="0" xfId="0" applyFont="1" applyAlignment="1">
      <alignment horizontal="center"/>
    </xf>
    <xf numFmtId="0" fontId="0" fillId="3" borderId="1" xfId="0" applyFill="1" applyBorder="1" applyAlignment="1">
      <alignment horizontal="center"/>
    </xf>
    <xf numFmtId="0" fontId="8" fillId="5" borderId="0" xfId="1" applyFill="1" applyAlignment="1">
      <alignment horizontal="center" vertical="center"/>
    </xf>
    <xf numFmtId="0" fontId="0" fillId="5" borderId="9" xfId="0" applyFill="1" applyBorder="1" applyAlignment="1">
      <alignment horizontal="center" vertical="center" wrapText="1"/>
    </xf>
    <xf numFmtId="0" fontId="0" fillId="3" borderId="1" xfId="0" applyFill="1" applyBorder="1" applyAlignment="1">
      <alignment horizontal="center" vertical="center"/>
    </xf>
    <xf numFmtId="0" fontId="10" fillId="3" borderId="9" xfId="0" applyFont="1" applyFill="1" applyBorder="1" applyAlignment="1">
      <alignment horizontal="center"/>
    </xf>
    <xf numFmtId="0" fontId="0" fillId="3" borderId="0" xfId="0" applyFill="1" applyAlignment="1">
      <alignment horizontal="center"/>
    </xf>
    <xf numFmtId="0" fontId="0" fillId="5" borderId="0" xfId="0" applyFill="1" applyAlignment="1">
      <alignment horizontal="center"/>
    </xf>
    <xf numFmtId="0" fontId="0" fillId="0" borderId="0" xfId="0" applyAlignment="1">
      <alignment horizontal="center" wrapText="1"/>
    </xf>
    <xf numFmtId="0" fontId="0" fillId="3" borderId="10" xfId="0" applyFill="1" applyBorder="1" applyAlignment="1">
      <alignment horizontal="center" vertical="center"/>
    </xf>
    <xf numFmtId="0" fontId="0" fillId="3" borderId="6" xfId="0" applyFill="1" applyBorder="1" applyAlignment="1">
      <alignment horizontal="center" vertical="center"/>
    </xf>
    <xf numFmtId="0" fontId="8" fillId="5" borderId="5" xfId="1" applyFill="1" applyBorder="1" applyAlignment="1">
      <alignment horizontal="center" vertical="center"/>
    </xf>
    <xf numFmtId="0" fontId="0" fillId="5" borderId="19" xfId="0" applyFill="1" applyBorder="1" applyAlignment="1">
      <alignment horizontal="center" vertical="center"/>
    </xf>
    <xf numFmtId="165" fontId="0" fillId="5" borderId="6" xfId="0" applyNumberFormat="1" applyFill="1" applyBorder="1" applyAlignment="1">
      <alignment horizontal="center" vertical="center"/>
    </xf>
    <xf numFmtId="0" fontId="8" fillId="0" borderId="6" xfId="1" applyFill="1" applyBorder="1" applyAlignment="1">
      <alignment horizontal="center" vertical="center"/>
    </xf>
    <xf numFmtId="165" fontId="0" fillId="0" borderId="6" xfId="0" applyNumberFormat="1" applyBorder="1" applyAlignment="1">
      <alignment horizontal="center" vertical="center"/>
    </xf>
    <xf numFmtId="0" fontId="8" fillId="0" borderId="6" xfId="1" applyBorder="1" applyAlignment="1">
      <alignment horizontal="center" vertical="center"/>
    </xf>
    <xf numFmtId="0" fontId="17" fillId="0" borderId="9" xfId="0" applyFont="1" applyBorder="1" applyAlignment="1">
      <alignment horizontal="center" vertical="center"/>
    </xf>
    <xf numFmtId="0" fontId="0" fillId="0" borderId="15" xfId="0" applyBorder="1" applyAlignment="1">
      <alignment horizontal="center" vertical="center"/>
    </xf>
    <xf numFmtId="165" fontId="3" fillId="0" borderId="9" xfId="1" applyNumberFormat="1" applyFont="1" applyBorder="1" applyAlignment="1">
      <alignment horizontal="center" vertical="center"/>
    </xf>
    <xf numFmtId="0" fontId="0" fillId="3" borderId="12" xfId="0" applyFill="1" applyBorder="1" applyAlignment="1">
      <alignment horizontal="center" vertical="center"/>
    </xf>
    <xf numFmtId="0" fontId="3" fillId="5" borderId="0" xfId="1" applyFont="1" applyFill="1" applyBorder="1" applyAlignment="1">
      <alignment horizontal="center" vertical="center"/>
    </xf>
    <xf numFmtId="0" fontId="21" fillId="0" borderId="0" xfId="0" applyFont="1" applyAlignment="1">
      <alignment horizontal="center" vertical="center"/>
    </xf>
    <xf numFmtId="0" fontId="0" fillId="3" borderId="11" xfId="0" applyFill="1" applyBorder="1" applyAlignment="1">
      <alignment horizontal="center"/>
    </xf>
    <xf numFmtId="0" fontId="3" fillId="3" borderId="9" xfId="0" applyFont="1" applyFill="1" applyBorder="1" applyAlignment="1">
      <alignment horizontal="center"/>
    </xf>
    <xf numFmtId="0" fontId="0" fillId="5" borderId="11" xfId="0" applyFill="1" applyBorder="1" applyAlignment="1">
      <alignment horizontal="center"/>
    </xf>
    <xf numFmtId="0" fontId="8" fillId="0" borderId="12" xfId="1" applyFill="1" applyBorder="1" applyAlignment="1">
      <alignment horizontal="center" vertical="center"/>
    </xf>
    <xf numFmtId="0" fontId="8" fillId="0" borderId="10" xfId="1" applyFill="1" applyBorder="1" applyAlignment="1">
      <alignment horizontal="center" vertical="center"/>
    </xf>
    <xf numFmtId="0" fontId="0" fillId="5" borderId="3" xfId="0" applyFill="1" applyBorder="1" applyAlignment="1">
      <alignment horizontal="center"/>
    </xf>
    <xf numFmtId="0" fontId="0" fillId="5" borderId="20" xfId="0" applyFill="1" applyBorder="1" applyAlignment="1">
      <alignment horizontal="center"/>
    </xf>
    <xf numFmtId="10" fontId="0" fillId="5" borderId="6" xfId="0" applyNumberFormat="1" applyFill="1" applyBorder="1"/>
    <xf numFmtId="6" fontId="8" fillId="5" borderId="9" xfId="1" applyNumberFormat="1" applyFill="1" applyBorder="1"/>
    <xf numFmtId="6" fontId="8" fillId="0" borderId="9" xfId="1" applyNumberFormat="1" applyBorder="1" applyAlignment="1">
      <alignment horizontal="right"/>
    </xf>
    <xf numFmtId="6" fontId="8" fillId="0" borderId="6" xfId="1" applyNumberFormat="1" applyBorder="1" applyAlignment="1">
      <alignment horizontal="right"/>
    </xf>
    <xf numFmtId="0" fontId="8" fillId="0" borderId="9" xfId="1" applyBorder="1" applyAlignment="1">
      <alignment horizontal="right"/>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4" fillId="0" borderId="3" xfId="0" applyFont="1" applyBorder="1" applyAlignment="1">
      <alignment horizontal="left" vertical="center"/>
    </xf>
    <xf numFmtId="0" fontId="4" fillId="0" borderId="7" xfId="0" applyFont="1" applyBorder="1" applyAlignment="1">
      <alignment horizontal="left" vertical="center"/>
    </xf>
    <xf numFmtId="0" fontId="4" fillId="0" borderId="4" xfId="0" applyFont="1" applyBorder="1" applyAlignment="1">
      <alignment horizontal="left" vertical="center"/>
    </xf>
  </cellXfs>
  <cellStyles count="3">
    <cellStyle name="Comma" xfId="2" builtinId="3"/>
    <cellStyle name="Hyperlink" xfId="1" xr:uid="{00000000-000B-0000-0000-000008000000}"/>
    <cellStyle name="Normal" xfId="0" builtinId="0"/>
  </cellStyles>
  <dxfs count="0"/>
  <tableStyles count="0" defaultTableStyle="TableStyleMedium2" defaultPivotStyle="PivotStyleLight16"/>
  <colors>
    <mruColors>
      <color rgb="FFEB15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nisha Nanda" id="{882AD9D0-909C-481E-92B1-4A8E935DB885}" userId="S::nanda18@purdue.edu::45c7b7c9-cb61-4c64-ad1b-5eb0f581e21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 dT="2025-09-08T16:40:39.79" personId="{882AD9D0-909C-481E-92B1-4A8E935DB885}" id="{D7B0B377-3F72-46E8-A439-2F7D1AF63399}">
    <text>All info collected from collegefactual website. No SNHU MS Econ page found directly from website</text>
  </threadedComment>
</ThreadedComments>
</file>

<file path=xl/threadedComments/threadedComment2.xml><?xml version="1.0" encoding="utf-8"?>
<ThreadedComments xmlns="http://schemas.microsoft.com/office/spreadsheetml/2018/threadedcomments" xmlns:x="http://schemas.openxmlformats.org/spreadsheetml/2006/main">
  <threadedComment ref="AP1" dT="2025-09-09T18:11:43.91" personId="{882AD9D0-909C-481E-92B1-4A8E935DB885}" id="{069E27AB-135F-4B85-9349-4F19483E4EBA}">
    <text>No HRM QS rankings</text>
  </threadedComment>
</ThreadedComments>
</file>

<file path=xl/threadedComments/threadedComment3.xml><?xml version="1.0" encoding="utf-8"?>
<ThreadedComments xmlns="http://schemas.microsoft.com/office/spreadsheetml/2018/threadedcomments" xmlns:x="http://schemas.openxmlformats.org/spreadsheetml/2006/main">
  <threadedComment ref="AT1" dT="2025-09-15T07:35:15.51" personId="{882AD9D0-909C-481E-92B1-4A8E935DB885}" id="{C9805207-E2FC-4E6C-87AB-FA6ACE116268}">
    <text>No Online MBA Best-Masters rankings</text>
  </threadedComment>
</ThreadedComments>
</file>

<file path=xl/threadedComments/threadedComment4.xml><?xml version="1.0" encoding="utf-8"?>
<ThreadedComments xmlns="http://schemas.microsoft.com/office/spreadsheetml/2018/threadedcomments" xmlns:x="http://schemas.openxmlformats.org/spreadsheetml/2006/main">
  <threadedComment ref="AZ1" dT="2025-09-09T20:47:29.28" personId="{882AD9D0-909C-481E-92B1-4A8E935DB885}" id="{2BDE28E3-8632-4EAC-A554-F49D2E204DD7}">
    <text>from Payscale, higher/lower indicates relationship to national average</text>
  </threadedComment>
  <threadedComment ref="BB1" dT="2025-09-15T08:19:25.16" personId="{882AD9D0-909C-481E-92B1-4A8E935DB885}" id="{B7761613-1EC9-43B2-83A6-326F57F1310B}">
    <text>No USNews HRM rankings</text>
  </threadedComment>
</ThreadedComments>
</file>

<file path=xl/threadedComments/threadedComment5.xml><?xml version="1.0" encoding="utf-8"?>
<ThreadedComments xmlns="http://schemas.microsoft.com/office/spreadsheetml/2018/threadedcomments" xmlns:x="http://schemas.openxmlformats.org/spreadsheetml/2006/main">
  <threadedComment ref="AZ1" dT="2025-09-09T10:52:22.89" personId="{882AD9D0-909C-481E-92B1-4A8E935DB885}" id="{CA8149C6-A64B-4985-AEBC-C543B2F3A115}">
    <text>higher or lower % than national avg's. found using payscale</text>
  </threadedComment>
</ThreadedComments>
</file>

<file path=xl/threadedComments/threadedComment6.xml><?xml version="1.0" encoding="utf-8"?>
<ThreadedComments xmlns="http://schemas.microsoft.com/office/spreadsheetml/2018/threadedcomments" xmlns:x="http://schemas.openxmlformats.org/spreadsheetml/2006/main">
  <threadedComment ref="AS1" dT="2025-09-09T11:43:22.92" personId="{882AD9D0-909C-481E-92B1-4A8E935DB885}" id="{6A0F4FB5-8B5E-4D0E-ACF2-8FDC2C1512FE}">
    <text>% up or down from national avg</text>
  </threadedComment>
  <threadedComment ref="AU1" dT="2025-09-15T08:38:29.48" personId="{882AD9D0-909C-481E-92B1-4A8E935DB885}" id="{8FA5F996-2691-4C50-BF0D-58239FCAA524}">
    <text>No USNews MBT rankings</text>
  </threadedComment>
  <threadedComment ref="AV1" dT="2025-09-15T08:38:52.92" personId="{882AD9D0-909C-481E-92B1-4A8E935DB885}" id="{B6B41EC1-4995-4FC6-95FC-D6372B7F52C0}">
    <text>No Best Masters MBT rankings</text>
  </threadedComment>
  <threadedComment ref="AY7" dT="2025-09-09T11:36:54.42" personId="{882AD9D0-909C-481E-92B1-4A8E935DB885}" id="{262CA6A3-BE8C-48AF-9B6D-5A5CFB94A91F}">
    <text>Median</text>
  </threadedComment>
  <threadedComment ref="AZ7" dT="2025-09-09T11:37:08.96" personId="{882AD9D0-909C-481E-92B1-4A8E935DB885}" id="{67D890C3-1841-4B49-9BF9-63F53765BA8C}">
    <text>Median</text>
  </threadedComment>
</ThreadedComments>
</file>

<file path=xl/worksheets/_rels/sheet5.xml.rels><?xml version="1.0" encoding="UTF-8" standalone="yes"?>
<Relationships xmlns="http://schemas.openxmlformats.org/package/2006/relationships"><Relationship Id="rId26" Type="http://schemas.openxmlformats.org/officeDocument/2006/relationships/hyperlink" Target="https://www.coursera.org/degrees/ms-data-science-ball-state/tuition-financing" TargetMode="External"/><Relationship Id="rId21" Type="http://schemas.openxmlformats.org/officeDocument/2006/relationships/hyperlink" Target="https://business.camden.rutgers.edu/graduate/ms-in-business-analytics/" TargetMode="External"/><Relationship Id="rId42" Type="http://schemas.openxmlformats.org/officeDocument/2006/relationships/hyperlink" Target="https://pe.gatech.edu/degrees/analytics" TargetMode="External"/><Relationship Id="rId47" Type="http://schemas.openxmlformats.org/officeDocument/2006/relationships/hyperlink" Target="https://mays.tamu.edu/graduate/masters/ms-programs/analytics/program-details/" TargetMode="External"/><Relationship Id="rId63" Type="http://schemas.openxmlformats.org/officeDocument/2006/relationships/hyperlink" Target="https://www.stevens.edu/program/business-intelligence-analytics-masters-program" TargetMode="External"/><Relationship Id="rId68" Type="http://schemas.openxmlformats.org/officeDocument/2006/relationships/hyperlink" Target="https://www.stevens.edu/program/business-intelligence-analytics-masters-program" TargetMode="External"/><Relationship Id="rId84" Type="http://schemas.openxmlformats.org/officeDocument/2006/relationships/hyperlink" Target="https://online.osu.edu/masters-degree/master-business-analytics" TargetMode="External"/><Relationship Id="rId16" Type="http://schemas.openxmlformats.org/officeDocument/2006/relationships/hyperlink" Target="https://business.purdue.edu/online/programs/ms-business-analytics/class-profile.php" TargetMode="External"/><Relationship Id="rId11" Type="http://schemas.openxmlformats.org/officeDocument/2006/relationships/hyperlink" Target="https://tippie.uiowa.edu/masters-business-analytics?creative=649012853754&amp;keyword=%2Biowa%20%2Bms%20%2Banalytics&amp;matchtype=b&amp;network=g&amp;device=c&amp;gad_source=1&amp;page=where_in_the_world" TargetMode="External"/><Relationship Id="rId32" Type="http://schemas.openxmlformats.org/officeDocument/2006/relationships/hyperlink" Target="https://fisher.osu.edu/graduate/smb-a/admissions/class-profile" TargetMode="External"/><Relationship Id="rId37" Type="http://schemas.openxmlformats.org/officeDocument/2006/relationships/hyperlink" Target="https://www.onlineeducation.com/analytics/schools/indiana-university-online-analytics-programs" TargetMode="External"/><Relationship Id="rId53" Type="http://schemas.openxmlformats.org/officeDocument/2006/relationships/hyperlink" Target="https://online.seas.upenn.edu/degrees/tuition-financial-aid/" TargetMode="External"/><Relationship Id="rId58" Type="http://schemas.openxmlformats.org/officeDocument/2006/relationships/hyperlink" Target="https://www.bu.edu/met/degrees-certificates/ms-applied-business-analytics/" TargetMode="External"/><Relationship Id="rId74" Type="http://schemas.openxmlformats.org/officeDocument/2006/relationships/hyperlink" Target="http://stevens.edu/office-of-student-accounts/tuition-and-fees" TargetMode="External"/><Relationship Id="rId79" Type="http://schemas.openxmlformats.org/officeDocument/2006/relationships/hyperlink" Target="https://msb.georgetown.edu/msba/admissions-financing/" TargetMode="External"/><Relationship Id="rId5" Type="http://schemas.openxmlformats.org/officeDocument/2006/relationships/hyperlink" Target="https://business.camden.rutgers.edu/graduate/ms-in-business-analytics/" TargetMode="External"/><Relationship Id="rId19" Type="http://schemas.openxmlformats.org/officeDocument/2006/relationships/hyperlink" Target="https://umdearborn.edu/cob/graduate-programs/degree-programs/business-analytics-capstone-experience" TargetMode="External"/><Relationship Id="rId14" Type="http://schemas.openxmlformats.org/officeDocument/2006/relationships/hyperlink" Target="https://business.purdue.edu/online/programs/ms-business-analytics/" TargetMode="External"/><Relationship Id="rId22" Type="http://schemas.openxmlformats.org/officeDocument/2006/relationships/hyperlink" Target="https://www.coursera.org/degrees/ms-data-science-ball-state/tuition-financing" TargetMode="External"/><Relationship Id="rId27" Type="http://schemas.openxmlformats.org/officeDocument/2006/relationships/hyperlink" Target="https://www.coursera.org/degrees/ms-data-science-ball-state/tuition-financing" TargetMode="External"/><Relationship Id="rId30" Type="http://schemas.openxmlformats.org/officeDocument/2006/relationships/hyperlink" Target="https://business.camden.rutgers.edu/prospective-students/tuition_fees/" TargetMode="External"/><Relationship Id="rId35" Type="http://schemas.openxmlformats.org/officeDocument/2006/relationships/hyperlink" Target="https://www.onlineeducation.com/analytics/schools/indiana-university-online-analytics-programs" TargetMode="External"/><Relationship Id="rId43" Type="http://schemas.openxmlformats.org/officeDocument/2006/relationships/hyperlink" Target="https://pe.gatech.edu/degrees/analytics/curriculum" TargetMode="External"/><Relationship Id="rId48" Type="http://schemas.openxmlformats.org/officeDocument/2006/relationships/hyperlink" Target="https://mays.tamu.edu/graduate/masters/ms-programs/analytics/" TargetMode="External"/><Relationship Id="rId56" Type="http://schemas.openxmlformats.org/officeDocument/2006/relationships/hyperlink" Target="https://online.seas.upenn.edu/wp-content/uploads/2025/01/Career-Outcomes-Report_2024_PennEngOnline.pdf" TargetMode="External"/><Relationship Id="rId64" Type="http://schemas.openxmlformats.org/officeDocument/2006/relationships/hyperlink" Target="https://www.stevens.edu/program/business-intelligence-analytics-masters-program" TargetMode="External"/><Relationship Id="rId69" Type="http://schemas.openxmlformats.org/officeDocument/2006/relationships/hyperlink" Target="https://www.stevens.edu/program/business-intelligence-analytics-masters-program" TargetMode="External"/><Relationship Id="rId77" Type="http://schemas.openxmlformats.org/officeDocument/2006/relationships/hyperlink" Target="https://msb.georgetown.edu/msba/admissions-financing/" TargetMode="External"/><Relationship Id="rId8" Type="http://schemas.openxmlformats.org/officeDocument/2006/relationships/hyperlink" Target="https://onlinedegrees.siu.edu/online/bus-all-sap1-230104/?lsid=google&amp;lssid=siu_all_all_x_sr_gen&amp;utm_source=google&amp;utm_medium=cpc&amp;utm_term=siu%20masters%20online&amp;utm_content=General&amp;groupid=163010202920&amp;utm_campaign=siu_all_all_x_sr_gen-B-X-X-X-ALL&amp;campid=21154911326&amp;type=p&amp;network=g&amp;device=c&amp;adid=695601446588&amp;ptid=&amp;ad_pos=&amp;fdid=&amp;tgid=kwd-2294181698600&amp;lphys=9016722&amp;linst=&amp;model=&amp;sitetarg=&amp;gclid=CjwKCAjw0aS3BhA3EiwAKaD2ZSdZE0HRhzOXkn-tgFoLINwWwegm9Bloomington2m7O_vYxTNbiR_gXHl4PWLbThoCu3wQAvD_BwE&amp;gad_source=1" TargetMode="External"/><Relationship Id="rId51" Type="http://schemas.openxmlformats.org/officeDocument/2006/relationships/hyperlink" Target="https://online.seas.upenn.edu/degrees/mcit-online/academics/" TargetMode="External"/><Relationship Id="rId72" Type="http://schemas.openxmlformats.org/officeDocument/2006/relationships/hyperlink" Target="https://www.bu.edu/met/degrees-certificates/ms-applied-business-analytics/" TargetMode="External"/><Relationship Id="rId80" Type="http://schemas.openxmlformats.org/officeDocument/2006/relationships/hyperlink" Target="https://www.coursera.org/degrees/ms-data-science-ball-state/tuition-financing" TargetMode="External"/><Relationship Id="rId85" Type="http://schemas.openxmlformats.org/officeDocument/2006/relationships/hyperlink" Target="https://online.osu.edu/masters-degree/master-business-analytics" TargetMode="External"/><Relationship Id="rId3" Type="http://schemas.openxmlformats.org/officeDocument/2006/relationships/hyperlink" Target="https://kelley.iu.edu/programs/executive-education-degrees-certificates/online-masters-degrees/business-analytics/index.html" TargetMode="External"/><Relationship Id="rId12" Type="http://schemas.openxmlformats.org/officeDocument/2006/relationships/hyperlink" Target="https://www.bsu.edu/academics/collegesanddepartments/online/academic-programs/masters/ms-data-science" TargetMode="External"/><Relationship Id="rId17" Type="http://schemas.openxmlformats.org/officeDocument/2006/relationships/hyperlink" Target="https://msb.georgetown.edu/mba/student-organizations/" TargetMode="External"/><Relationship Id="rId25" Type="http://schemas.openxmlformats.org/officeDocument/2006/relationships/hyperlink" Target="https://www.coursera.org/degrees/ms-data-science-ball-state/tuition-financing" TargetMode="External"/><Relationship Id="rId33" Type="http://schemas.openxmlformats.org/officeDocument/2006/relationships/hyperlink" Target="https://fisher.osu.edu/graduate/smb-a/admissions/class-profile" TargetMode="External"/><Relationship Id="rId38" Type="http://schemas.openxmlformats.org/officeDocument/2006/relationships/hyperlink" Target="https://www.onlineeducation.com/analytics/schools/indiana-university-online-analytics-programs" TargetMode="External"/><Relationship Id="rId46" Type="http://schemas.openxmlformats.org/officeDocument/2006/relationships/hyperlink" Target="https://mays.tamu.edu/graduate/masters/ms-programs/analytics/" TargetMode="External"/><Relationship Id="rId59" Type="http://schemas.openxmlformats.org/officeDocument/2006/relationships/hyperlink" Target="https://www.bu.edu/met/degrees-certificates/ms-applied-business-analytics/" TargetMode="External"/><Relationship Id="rId67" Type="http://schemas.openxmlformats.org/officeDocument/2006/relationships/hyperlink" Target="https://www.stevens.edu/program/business-intelligence-analytics-masters-program" TargetMode="External"/><Relationship Id="rId20" Type="http://schemas.openxmlformats.org/officeDocument/2006/relationships/hyperlink" Target="https://michiganross.umich.edu/graduate/master-of-business-analytics/student-experience/clubs-and-involvement" TargetMode="External"/><Relationship Id="rId41" Type="http://schemas.openxmlformats.org/officeDocument/2006/relationships/hyperlink" Target="https://msb.georgetown.edu/news-story/career/georgetown-business-analytics-graduates-land-top-careers-in-financial-services-consulting-and-technology/" TargetMode="External"/><Relationship Id="rId54" Type="http://schemas.openxmlformats.org/officeDocument/2006/relationships/hyperlink" Target="https://online.seas.upenn.edu/degrees/tuition-financial-aid/" TargetMode="External"/><Relationship Id="rId62" Type="http://schemas.openxmlformats.org/officeDocument/2006/relationships/hyperlink" Target="https://www.bu.edu/met/degrees-certificates/ms-applied-business-analytics/" TargetMode="External"/><Relationship Id="rId70" Type="http://schemas.openxmlformats.org/officeDocument/2006/relationships/hyperlink" Target="https://online.osu.edu/masters-degree/master-business-analytics" TargetMode="External"/><Relationship Id="rId75" Type="http://schemas.openxmlformats.org/officeDocument/2006/relationships/hyperlink" Target="http://stevens.edu/office-of-student-accounts/tuition-and-fees" TargetMode="External"/><Relationship Id="rId83" Type="http://schemas.openxmlformats.org/officeDocument/2006/relationships/hyperlink" Target="https://online.osu.edu/masters-degree/master-business-analytics" TargetMode="External"/><Relationship Id="rId1" Type="http://schemas.openxmlformats.org/officeDocument/2006/relationships/hyperlink" Target="https://michiganross.umich.edu/graduate/master-of-business-analytics" TargetMode="External"/><Relationship Id="rId6" Type="http://schemas.openxmlformats.org/officeDocument/2006/relationships/hyperlink" Target="https://tippie.uiowa.edu/masters-business-analytics?creative=649012853754&amp;keyword=%2Biowa%20%2Bms%20%2Banalytics&amp;matchtype=b&amp;network=g&amp;device=c&amp;gad_source=1&amp;page=where_in_the_world" TargetMode="External"/><Relationship Id="rId15" Type="http://schemas.openxmlformats.org/officeDocument/2006/relationships/hyperlink" Target="https://msb.georgetown.edu/msba/online-experience-in-ms-in-finance-program-georgetown-university/" TargetMode="External"/><Relationship Id="rId23" Type="http://schemas.openxmlformats.org/officeDocument/2006/relationships/hyperlink" Target="https://www.coursera.org/degrees/ms-data-science-ball-state/tuition-financing" TargetMode="External"/><Relationship Id="rId28" Type="http://schemas.openxmlformats.org/officeDocument/2006/relationships/hyperlink" Target="https://business.camden.rutgers.edu/prospective-students/tuition_fees/" TargetMode="External"/><Relationship Id="rId36" Type="http://schemas.openxmlformats.org/officeDocument/2006/relationships/hyperlink" Target="https://www.onlineeducation.com/analytics/schools/indiana-university-online-analytics-programs" TargetMode="External"/><Relationship Id="rId49" Type="http://schemas.openxmlformats.org/officeDocument/2006/relationships/hyperlink" Target="https://online.seas.upenn.edu/degrees/mcit-online/" TargetMode="External"/><Relationship Id="rId57" Type="http://schemas.openxmlformats.org/officeDocument/2006/relationships/hyperlink" Target="https://www.bu.edu/met/degrees-certificates/ms-applied-business-analytics/" TargetMode="External"/><Relationship Id="rId10" Type="http://schemas.openxmlformats.org/officeDocument/2006/relationships/hyperlink" Target="https://business.camden.rutgers.edu/graduate/ms-in-business-analytics/" TargetMode="External"/><Relationship Id="rId31" Type="http://schemas.openxmlformats.org/officeDocument/2006/relationships/hyperlink" Target="https://fisher.osu.edu/graduate/smb-a/admissions/class-profile" TargetMode="External"/><Relationship Id="rId44" Type="http://schemas.openxmlformats.org/officeDocument/2006/relationships/hyperlink" Target="https://www.analytics.gatech.edu/inside-our-program/reports-statistics" TargetMode="External"/><Relationship Id="rId52" Type="http://schemas.openxmlformats.org/officeDocument/2006/relationships/hyperlink" Target="https://online.seas.upenn.edu/degrees/tuition-financial-aid/" TargetMode="External"/><Relationship Id="rId60" Type="http://schemas.openxmlformats.org/officeDocument/2006/relationships/hyperlink" Target="https://www.bu.edu/met/degrees-certificates/ms-applied-business-analytics/" TargetMode="External"/><Relationship Id="rId65" Type="http://schemas.openxmlformats.org/officeDocument/2006/relationships/hyperlink" Target="https://www.stevens.edu/program/business-intelligence-analytics-masters-program" TargetMode="External"/><Relationship Id="rId73" Type="http://schemas.openxmlformats.org/officeDocument/2006/relationships/hyperlink" Target="https://www.bu.edu/met/degrees-certificates/ms-applied-business-analytics/" TargetMode="External"/><Relationship Id="rId78" Type="http://schemas.openxmlformats.org/officeDocument/2006/relationships/hyperlink" Target="https://msb.georgetown.edu/msba/admissions-financing/" TargetMode="External"/><Relationship Id="rId81" Type="http://schemas.openxmlformats.org/officeDocument/2006/relationships/hyperlink" Target="https://www.coursera.org/degrees/ms-data-science-ball-state/tuition-financing" TargetMode="External"/><Relationship Id="rId4" Type="http://schemas.openxmlformats.org/officeDocument/2006/relationships/hyperlink" Target="https://www.bsu.edu/academics/collegesanddepartments/online/academic-programs/masters/business-analytics" TargetMode="External"/><Relationship Id="rId9" Type="http://schemas.openxmlformats.org/officeDocument/2006/relationships/hyperlink" Target="https://kelley.iu.edu/programs/executive-education-degrees-certificates/online-masters-degrees/business-analytics/index.html" TargetMode="External"/><Relationship Id="rId13" Type="http://schemas.openxmlformats.org/officeDocument/2006/relationships/hyperlink" Target="https://msb.georgetown.edu/msba/master-of-science-in-business-analytics-online/" TargetMode="External"/><Relationship Id="rId18" Type="http://schemas.openxmlformats.org/officeDocument/2006/relationships/hyperlink" Target="https://michiganross.umich.edu/graduate/master-of-business-analytics" TargetMode="External"/><Relationship Id="rId39" Type="http://schemas.openxmlformats.org/officeDocument/2006/relationships/hyperlink" Target="https://www.onlineeducation.com/analytics/schools/indiana-university-online-analytics-programs" TargetMode="External"/><Relationship Id="rId34" Type="http://schemas.openxmlformats.org/officeDocument/2006/relationships/hyperlink" Target="https://fisher.osu.edu/graduate/smb-a/fisher-smba-difference" TargetMode="External"/><Relationship Id="rId50" Type="http://schemas.openxmlformats.org/officeDocument/2006/relationships/hyperlink" Target="https://online.seas.upenn.edu/degrees/mcit-online/academics/%20%20%20%20%20%20%20%20%20%20%20%20%20https:/online.seas.upenn.edu/degrees/mcit-online/mcit-community/" TargetMode="External"/><Relationship Id="rId55" Type="http://schemas.openxmlformats.org/officeDocument/2006/relationships/hyperlink" Target="https://online.seas.upenn.edu/wp-content/uploads/2025/01/Career-Outcomes-Report_2024_PennEngOnline.pdf" TargetMode="External"/><Relationship Id="rId76" Type="http://schemas.openxmlformats.org/officeDocument/2006/relationships/hyperlink" Target="http://stevens.edu/office-of-student-accounts/tuition-and-fees" TargetMode="External"/><Relationship Id="rId7" Type="http://schemas.openxmlformats.org/officeDocument/2006/relationships/hyperlink" Target="https://online.osu.edu/masters-degree/master-business-analytics" TargetMode="External"/><Relationship Id="rId71" Type="http://schemas.openxmlformats.org/officeDocument/2006/relationships/hyperlink" Target="https://www.bu.edu/met/degrees-certificates/ms-applied-business-analytics/" TargetMode="External"/><Relationship Id="rId2" Type="http://schemas.openxmlformats.org/officeDocument/2006/relationships/hyperlink" Target="https://onlinedegrees.siu.edu/online/bus-analytics-sap3-230107" TargetMode="External"/><Relationship Id="rId29" Type="http://schemas.openxmlformats.org/officeDocument/2006/relationships/hyperlink" Target="https://business.camden.rutgers.edu/prospective-students/tuition_fees/" TargetMode="External"/><Relationship Id="rId24" Type="http://schemas.openxmlformats.org/officeDocument/2006/relationships/hyperlink" Target="https://www.coursera.org/degrees/ms-data-science-ball-state/tuition-financing" TargetMode="External"/><Relationship Id="rId40" Type="http://schemas.openxmlformats.org/officeDocument/2006/relationships/hyperlink" Target="https://www.onlineeducation.com/analytics/schools/indiana-university-online-analytics-programs" TargetMode="External"/><Relationship Id="rId45" Type="http://schemas.openxmlformats.org/officeDocument/2006/relationships/hyperlink" Target="https://www.analytics.gatech.edu/inside-our-program/reports-statistics" TargetMode="External"/><Relationship Id="rId66" Type="http://schemas.openxmlformats.org/officeDocument/2006/relationships/hyperlink" Target="https://www.stevens.edu/program/business-intelligence-analytics-masters-program" TargetMode="External"/><Relationship Id="rId61" Type="http://schemas.openxmlformats.org/officeDocument/2006/relationships/hyperlink" Target="https://www.bu.edu/met/degrees-certificates/ms-applied-business-analytics/" TargetMode="External"/><Relationship Id="rId82" Type="http://schemas.openxmlformats.org/officeDocument/2006/relationships/hyperlink" Target="https://www.coursera.org/degrees/ms-data-science-ball-state/tuition-financin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google.com/search?q=https://und.edu/study/graduate/applied-economics-and-predictive-analytics.html%23curriculum-6" TargetMode="External"/><Relationship Id="rId18" Type="http://schemas.openxmlformats.org/officeDocument/2006/relationships/hyperlink" Target="https://www.snhu.edu/student-experience/career" TargetMode="External"/><Relationship Id="rId26" Type="http://schemas.openxmlformats.org/officeDocument/2006/relationships/hyperlink" Target="https://www.usnews.com/education/online-education/economics-masters-degree?edu-2401-variation=true" TargetMode="External"/><Relationship Id="rId39" Type="http://schemas.openxmlformats.org/officeDocument/2006/relationships/comments" Target="../comments1.xml"/><Relationship Id="rId21" Type="http://schemas.openxmlformats.org/officeDocument/2006/relationships/hyperlink" Target="https://ocpd.georgiasouthern.edu/channels/student/" TargetMode="External"/><Relationship Id="rId34" Type="http://schemas.openxmlformats.org/officeDocument/2006/relationships/hyperlink" Target="https://mason360.gmu.edu/" TargetMode="External"/><Relationship Id="rId7" Type="http://schemas.openxmlformats.org/officeDocument/2006/relationships/hyperlink" Target="https://www.google.com/search?q=https://business.purdue.edu/programs/ms/economics/curriculum/" TargetMode="External"/><Relationship Id="rId12" Type="http://schemas.openxmlformats.org/officeDocument/2006/relationships/hyperlink" Target="https://parker.georgiasouthern.edu/student-organizations/" TargetMode="External"/><Relationship Id="rId17" Type="http://schemas.openxmlformats.org/officeDocument/2006/relationships/hyperlink" Target="https://www.collegefactual.com/graduate-schools/southern-new-hampshire-university/masters-degrees/social-sciences/economics/" TargetMode="External"/><Relationship Id="rId25" Type="http://schemas.openxmlformats.org/officeDocument/2006/relationships/hyperlink" Target="https://www.udmercy.edu/current-students/cec/" TargetMode="External"/><Relationship Id="rId33" Type="http://schemas.openxmlformats.org/officeDocument/2006/relationships/hyperlink" Target="https://masononline.gmu.edu/programs/ma-masters-economics/" TargetMode="External"/><Relationship Id="rId38" Type="http://schemas.openxmlformats.org/officeDocument/2006/relationships/vmlDrawing" Target="../drawings/vmlDrawing1.vml"/><Relationship Id="rId2" Type="http://schemas.openxmlformats.org/officeDocument/2006/relationships/hyperlink" Target="https://programs.online.american.edu/econ/masters-economics" TargetMode="External"/><Relationship Id="rId16" Type="http://schemas.openxmlformats.org/officeDocument/2006/relationships/hyperlink" Target="https://advanced.jhu.edu/student-resources/career-services/" TargetMode="External"/><Relationship Id="rId20" Type="http://schemas.openxmlformats.org/officeDocument/2006/relationships/hyperlink" Target="https://www.american.edu/sis/career/" TargetMode="External"/><Relationship Id="rId29" Type="http://schemas.openxmlformats.org/officeDocument/2006/relationships/hyperlink" Target="https://www.topuniversities.com/university-subject-rankings/economics-econometrics?page=2&amp;items_per_page=150" TargetMode="External"/><Relationship Id="rId1" Type="http://schemas.openxmlformats.org/officeDocument/2006/relationships/hyperlink" Target="https://landing.advanced.jhu.edu/applied-economics/?utm_source=google&amp;utm_medium=cpc&amp;utm_term=hopkins+applied+economics&amp;utm_campaign=RWC_JHUAAP_MSAE_Search-PPC_Paid+Search_Google_Branded_NULL_Domestic_Brand-Program_NULL_Primary&amp;utm_content=MSAE%7CProgram%7CExact%7CObservation&amp;uadgroup=MSAE%7CProgram%7CExact%7CObservation&amp;uAdCampaign=RWC_JHUAAP_MSAE_Search-PPC_Paid+Search_Google_Branded_NULL_Domestic_Brand-Program_NULL_Primary&amp;gad=1&amp;gclid=EAIaIQobChMI6LrxgoiAgQMV-AutBh2yFgx7EAAYASAAEgKyS_D_BwE&amp;gclsrc=aw.ds" TargetMode="External"/><Relationship Id="rId6" Type="http://schemas.openxmlformats.org/officeDocument/2006/relationships/hyperlink" Target="https://chass.udmercy.edu/academics/econ/master-of-arts-in-economics.php" TargetMode="External"/><Relationship Id="rId11" Type="http://schemas.openxmlformats.org/officeDocument/2006/relationships/hyperlink" Target="https://parker.georgiasouthern.edu/msae/curriculum/" TargetMode="External"/><Relationship Id="rId24" Type="http://schemas.openxmlformats.org/officeDocument/2006/relationships/hyperlink" Target="https://business.gmu.edu/current-students/career-services" TargetMode="External"/><Relationship Id="rId32" Type="http://schemas.openxmlformats.org/officeDocument/2006/relationships/hyperlink" Target="https://www.georgiasouthern.edu/cogs/admission/msa/" TargetMode="External"/><Relationship Id="rId37" Type="http://schemas.openxmlformats.org/officeDocument/2006/relationships/hyperlink" Target="https://und.edu/admissions/cost-and-aid/cost.html" TargetMode="External"/><Relationship Id="rId40" Type="http://schemas.microsoft.com/office/2017/10/relationships/threadedComment" Target="../threadedComments/threadedComment1.xml"/><Relationship Id="rId5" Type="http://schemas.openxmlformats.org/officeDocument/2006/relationships/hyperlink" Target="https://masononline.gmu.edu/programs/ma-masters-economics/" TargetMode="External"/><Relationship Id="rId15" Type="http://schemas.openxmlformats.org/officeDocument/2006/relationships/hyperlink" Target="https://www.google.com/search?q=https://online.missouri.edu/degrees-programs/masters/economics-ma/academics/" TargetMode="External"/><Relationship Id="rId23" Type="http://schemas.openxmlformats.org/officeDocument/2006/relationships/hyperlink" Target="https://career.missouri.edu/about/career-coaching/" TargetMode="External"/><Relationship Id="rId28" Type="http://schemas.openxmlformats.org/officeDocument/2006/relationships/hyperlink" Target="https://www.topuniversities.com/university-subject-rankings/economics-econometrics?items_per_page=150" TargetMode="External"/><Relationship Id="rId36" Type="http://schemas.openxmlformats.org/officeDocument/2006/relationships/hyperlink" Target="https://und.edu/admissions/cost-and-aid/cost.html" TargetMode="External"/><Relationship Id="rId10" Type="http://schemas.openxmlformats.org/officeDocument/2006/relationships/hyperlink" Target="https://www.google.com/search?q=https://www.american.edu/ocl/student-involvement/organizations.cfm" TargetMode="External"/><Relationship Id="rId19" Type="http://schemas.openxmlformats.org/officeDocument/2006/relationships/hyperlink" Target="https://business.purdue.edu/online/student-experience/career-services.php" TargetMode="External"/><Relationship Id="rId31" Type="http://schemas.openxmlformats.org/officeDocument/2006/relationships/hyperlink" Target="https://business.purdue.edu/online/programs/ms-economics/" TargetMode="External"/><Relationship Id="rId4" Type="http://schemas.openxmlformats.org/officeDocument/2006/relationships/hyperlink" Target="https://online.missouri.edu/degrees-programs/mu/arts-and-sciences/economics/ma" TargetMode="External"/><Relationship Id="rId9" Type="http://schemas.openxmlformats.org/officeDocument/2006/relationships/hyperlink" Target="https://www.google.com/search?q=https://www.american.edu/cas/econ/ma/curriculum.cfm" TargetMode="External"/><Relationship Id="rId14" Type="http://schemas.openxmlformats.org/officeDocument/2006/relationships/hyperlink" Target="https://www.google.com/search?q=https://business.und.edu/student-essentials/organizations.html" TargetMode="External"/><Relationship Id="rId22" Type="http://schemas.openxmlformats.org/officeDocument/2006/relationships/hyperlink" Target="https://und.edu/student-life/career-services/index.html" TargetMode="External"/><Relationship Id="rId27" Type="http://schemas.openxmlformats.org/officeDocument/2006/relationships/hyperlink" Target="https://www.topuniversities.com/university-subject-rankings/economics-econometrics?items_per_page=150" TargetMode="External"/><Relationship Id="rId30" Type="http://schemas.openxmlformats.org/officeDocument/2006/relationships/hyperlink" Target="https://www.topuniversities.com/university-subject-rankings/economics-econometrics?page=2&amp;items_per_page=150" TargetMode="External"/><Relationship Id="rId35" Type="http://schemas.openxmlformats.org/officeDocument/2006/relationships/hyperlink" Target="https://und.edu/admissions/cost-and-aid/cost.html" TargetMode="External"/><Relationship Id="rId8" Type="http://schemas.openxmlformats.org/officeDocument/2006/relationships/hyperlink" Target="https://www.google.com/search?q=https://business.purdue.edu/programs/ms/economics/student-experience/index.php" TargetMode="External"/><Relationship Id="rId3" Type="http://schemas.openxmlformats.org/officeDocument/2006/relationships/hyperlink" Target="https://und.edu/programs/applied-economics-ms/index.html"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scs.georgetown.edu/admissions/tuition/" TargetMode="External"/><Relationship Id="rId21" Type="http://schemas.openxmlformats.org/officeDocument/2006/relationships/hyperlink" Target="https://www.usnews.com/education/online-education/purdue-university-main-campus-OEDU0558/education" TargetMode="External"/><Relationship Id="rId42" Type="http://schemas.openxmlformats.org/officeDocument/2006/relationships/hyperlink" Target="https://huskers.com/affinity-groups" TargetMode="External"/><Relationship Id="rId63" Type="http://schemas.openxmlformats.org/officeDocument/2006/relationships/hyperlink" Target="https://www.usnews.com/education/online-education/mba/logistics-rankings?edu-2401-control=true" TargetMode="External"/><Relationship Id="rId84" Type="http://schemas.openxmlformats.org/officeDocument/2006/relationships/hyperlink" Target="https://premium.usnews.com/best-graduate-schools/top-business-schools/georgetown-university-01042" TargetMode="External"/><Relationship Id="rId138" Type="http://schemas.openxmlformats.org/officeDocument/2006/relationships/hyperlink" Target="https://www.usnews.com/education/online-education/the-university-of-tennessee-OBUS0775/business?edu-2401-control=true" TargetMode="External"/><Relationship Id="rId159" Type="http://schemas.openxmlformats.org/officeDocument/2006/relationships/hyperlink" Target="https://www.worldcampus.psu.edu/degrees-and-certificates/penn-state-online-supply-chain-management-masters-degree" TargetMode="External"/><Relationship Id="rId170" Type="http://schemas.openxmlformats.org/officeDocument/2006/relationships/hyperlink" Target="https://studentsuccess.uky.edu/financial-aid-and-scholarships/cost-attendance" TargetMode="External"/><Relationship Id="rId107" Type="http://schemas.openxmlformats.org/officeDocument/2006/relationships/hyperlink" Target="https://www.marshall.usc.edu/trojan-network/recruiting/graduate" TargetMode="External"/><Relationship Id="rId11" Type="http://schemas.openxmlformats.org/officeDocument/2006/relationships/hyperlink" Target="https://business.purdue.edu/online/programs/ms-global-supply-chain-management/" TargetMode="External"/><Relationship Id="rId32" Type="http://schemas.openxmlformats.org/officeDocument/2006/relationships/hyperlink" Target="https://www.worldcampus.psu.edu/degrees-and-certificates/penn-state-online-supply-chain-management-masters-degree" TargetMode="External"/><Relationship Id="rId53" Type="http://schemas.openxmlformats.org/officeDocument/2006/relationships/hyperlink" Target="https://www.usnews.com/education/online-education/rutgers-university-newark-OBUS0514/business" TargetMode="External"/><Relationship Id="rId74" Type="http://schemas.openxmlformats.org/officeDocument/2006/relationships/hyperlink" Target="https://www.usnews.com/education/online-education/michigan-state-university-OBUS0369/business?edu-2401-control=true" TargetMode="External"/><Relationship Id="rId128" Type="http://schemas.openxmlformats.org/officeDocument/2006/relationships/hyperlink" Target="https://www.usnews.com/education/online-education/university-of-nebraska-lincoln-OBUS0726/mba" TargetMode="External"/><Relationship Id="rId149" Type="http://schemas.openxmlformats.org/officeDocument/2006/relationships/hyperlink" Target="https://www.purdue.edu/treasurer/finance/bursar-office/tuition/fee-rates-2025-2026/professional-masters-program-fees-2025-2026/" TargetMode="External"/><Relationship Id="rId5" Type="http://schemas.openxmlformats.org/officeDocument/2006/relationships/hyperlink" Target="https://www.bu.edu/online/programs/graduate-programs/supply-chain-management/" TargetMode="External"/><Relationship Id="rId95" Type="http://schemas.openxmlformats.org/officeDocument/2006/relationships/hyperlink" Target="https://business.purdue.edu/careers/graduate/home.php" TargetMode="External"/><Relationship Id="rId160"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81" Type="http://schemas.openxmlformats.org/officeDocument/2006/relationships/hyperlink" Target="https://www.bu.edu/online/degrees-certificates/supply-chain-management/ms-supply-chain-management/" TargetMode="External"/><Relationship Id="rId22" Type="http://schemas.openxmlformats.org/officeDocument/2006/relationships/hyperlink" Target="https://www.usnews.com/education/online-education/purdue-university-main-campus-OEDU0558/education" TargetMode="External"/><Relationship Id="rId43" Type="http://schemas.openxmlformats.org/officeDocument/2006/relationships/hyperlink" Target="https://alumni.auburn.edu/clubs/" TargetMode="External"/><Relationship Id="rId64" Type="http://schemas.openxmlformats.org/officeDocument/2006/relationships/hyperlink" Target="https://www.usnews.com/education/online-education/arizona-state-university-OBUS0021/business?edu-2401-control=true" TargetMode="External"/><Relationship Id="rId118" Type="http://schemas.openxmlformats.org/officeDocument/2006/relationships/hyperlink" Target="https://scs.georgetown.edu/admissions/tuition/" TargetMode="External"/><Relationship Id="rId139" Type="http://schemas.openxmlformats.org/officeDocument/2006/relationships/hyperlink" Target="https://www.usnews.com/education/online-education/arizona-state-university-OBUS0021/business?edu-2401-control=true" TargetMode="External"/><Relationship Id="rId85" Type="http://schemas.openxmlformats.org/officeDocument/2006/relationships/hyperlink" Target="https://scs.georgetown.edu/programs/503/online/online-masters-in-supply-chain-management/" TargetMode="External"/><Relationship Id="rId150" Type="http://schemas.openxmlformats.org/officeDocument/2006/relationships/hyperlink" Target="https://haslam.utk.edu/gsci/news/what-to-expect-from-your-first-semester-in-ut-online-ms-program/" TargetMode="External"/><Relationship Id="rId171" Type="http://schemas.openxmlformats.org/officeDocument/2006/relationships/hyperlink" Target="https://studentsuccess.uky.edu/financial-aid-and-scholarships/cost-attendance" TargetMode="External"/><Relationship Id="rId12" Type="http://schemas.openxmlformats.org/officeDocument/2006/relationships/hyperlink" Target="https://www.usnews.com/education/online-education/purdue-university-main-campus-OEDU0558/education" TargetMode="External"/><Relationship Id="rId33" Type="http://schemas.openxmlformats.org/officeDocument/2006/relationships/hyperlink" Target="https://www.usnews.com/education/online-education/mba/logistics-rankings" TargetMode="External"/><Relationship Id="rId108" Type="http://schemas.openxmlformats.org/officeDocument/2006/relationships/hyperlink" Target="https://online.uky.edu/masters/supply-chain-management/ms" TargetMode="External"/><Relationship Id="rId129" Type="http://schemas.openxmlformats.org/officeDocument/2006/relationships/hyperlink" Target="https://www.usnews.com/education/online-education/auburn-university-main-campus-OBUS0026/mba" TargetMode="External"/><Relationship Id="rId54" Type="http://schemas.openxmlformats.org/officeDocument/2006/relationships/hyperlink" Target="https://www.usnews.com/education/online-education/rutgers-university-newark-OBUS0514/business" TargetMode="External"/><Relationship Id="rId75" Type="http://schemas.openxmlformats.org/officeDocument/2006/relationships/hyperlink" Target="https://www.bu.edu/met/degrees-certificates/ms-supply-chain-management/?utm_source=ode&amp;utm_medium=website&amp;utm_content=tuition-chart-msscm&amp;utm_campaign=online-programs" TargetMode="External"/><Relationship Id="rId96" Type="http://schemas.openxmlformats.org/officeDocument/2006/relationships/hyperlink" Target="https://www.purdueforlife.org/affinity-networks/" TargetMode="External"/><Relationship Id="rId140" Type="http://schemas.openxmlformats.org/officeDocument/2006/relationships/hyperlink" Target="https://online.uky.edu/masters/supply-chain-management/ms" TargetMode="External"/><Relationship Id="rId161"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82" Type="http://schemas.openxmlformats.org/officeDocument/2006/relationships/hyperlink" Target="https://www.marshall.usc.edu/global-supply-chain-tuition-and-fees-wip" TargetMode="External"/><Relationship Id="rId6" Type="http://schemas.openxmlformats.org/officeDocument/2006/relationships/hyperlink" Target="https://www.marshall.usc.edu/programs/graduate-programs/specialized-masters/ms-global-supply-chain-management" TargetMode="External"/><Relationship Id="rId23" Type="http://schemas.openxmlformats.org/officeDocument/2006/relationships/hyperlink" Target="https://www.usnews.com/education/online-education/purdue-university-main-campus-OEDU0558/education" TargetMode="External"/><Relationship Id="rId119" Type="http://schemas.openxmlformats.org/officeDocument/2006/relationships/hyperlink" Target="https://www.usnews.com/education/online-education/purdue-university-main-campus-OEDU0558/educationhttps:/business.purdue.edu/online/programs/ms-global-supply-chain-management/tuition-comparison.pdf" TargetMode="External"/><Relationship Id="rId44" Type="http://schemas.openxmlformats.org/officeDocument/2006/relationships/hyperlink" Target="https://www.usnews.com/education/online-education/mba/logistics-rankings" TargetMode="External"/><Relationship Id="rId60" Type="http://schemas.openxmlformats.org/officeDocument/2006/relationships/hyperlink" Target="https://www.usnews.com/education/online-education/the-university-of-tennessee-OBUS0775/business?edu-2401-control=true" TargetMode="External"/><Relationship Id="rId65" Type="http://schemas.openxmlformats.org/officeDocument/2006/relationships/hyperlink" Target="https://www.usnews.com/education/online-education/arizona-state-university-OBUS0021/business?edu-2401-control=true" TargetMode="External"/><Relationship Id="rId81" Type="http://schemas.openxmlformats.org/officeDocument/2006/relationships/hyperlink" Target="https://premium.usnews.com/best-graduate-schools/top-business-schools/georgetown-university-01042" TargetMode="External"/><Relationship Id="rId86" Type="http://schemas.openxmlformats.org/officeDocument/2006/relationships/hyperlink" Target="https://msb.georgetown.edu/mba/student-organizations/" TargetMode="External"/><Relationship Id="rId130" Type="http://schemas.openxmlformats.org/officeDocument/2006/relationships/hyperlink" Target="https://www.usnews.com/education/online-education/university-of-southern-california-OBUS0767/mba" TargetMode="External"/><Relationship Id="rId135" Type="http://schemas.openxmlformats.org/officeDocument/2006/relationships/hyperlink" Target="https://www.usnews.com/education/online-education/university-of-nebraska-lincoln-OBUS0726/mba" TargetMode="External"/><Relationship Id="rId151" Type="http://schemas.openxmlformats.org/officeDocument/2006/relationships/hyperlink" Target="https://wpcarey.asu.edu/masters-programs/online-supply-chain-management/cost-financial-aid" TargetMode="External"/><Relationship Id="rId156" Type="http://schemas.openxmlformats.org/officeDocument/2006/relationships/hyperlink" Target="https://www.best-masters.com/master-supply-chain-and-logistics-ranking/usa.html" TargetMode="External"/><Relationship Id="rId177" Type="http://schemas.openxmlformats.org/officeDocument/2006/relationships/hyperlink" Target="https://asuonline.asu.edu/what-it-costs" TargetMode="External"/><Relationship Id="rId172" Type="http://schemas.openxmlformats.org/officeDocument/2006/relationships/hyperlink" Target="https://stfrancis.edu/mba/" TargetMode="External"/><Relationship Id="rId13" Type="http://schemas.openxmlformats.org/officeDocument/2006/relationships/hyperlink" Target="https://www.usnews.com/education/online-education/purdue-university-main-campus-OEDU0558/education" TargetMode="External"/><Relationship Id="rId18" Type="http://schemas.openxmlformats.org/officeDocument/2006/relationships/hyperlink" Target="https://www.usnews.com/education/online-education/purdue-university-main-campus-OEDU0558/education" TargetMode="External"/><Relationship Id="rId39" Type="http://schemas.openxmlformats.org/officeDocument/2006/relationships/hyperlink" Target="https://www.usnews.com/education/online-education/auburn-university-main-campus-OBUS0026/mba" TargetMode="External"/><Relationship Id="rId109" Type="http://schemas.openxmlformats.org/officeDocument/2006/relationships/hyperlink" Target="https://online.uky.edu/masters/supply-chain-management/ms" TargetMode="External"/><Relationship Id="rId34" Type="http://schemas.openxmlformats.org/officeDocument/2006/relationships/hyperlink" Target="https://www.best-masters.com/master-supply-chain-and-logistics-ranking/usa.html" TargetMode="External"/><Relationship Id="rId50" Type="http://schemas.openxmlformats.org/officeDocument/2006/relationships/hyperlink" Target="https://www.usnews.com/education/online-education/university-of-southern-california-OBUS0767/mba" TargetMode="External"/><Relationship Id="rId55" Type="http://schemas.openxmlformats.org/officeDocument/2006/relationships/hyperlink" Target="https://www.usnews.com/education/online-education/rutgers-university-newark-OBUS0514/business" TargetMode="External"/><Relationship Id="rId76" Type="http://schemas.openxmlformats.org/officeDocument/2006/relationships/hyperlink" Target="https://www.bu.edu/met/admissions/apply-now-graduate/" TargetMode="External"/><Relationship Id="rId97" Type="http://schemas.openxmlformats.org/officeDocument/2006/relationships/hyperlink" Target="https://volsonline.utk.edu/program/masters/supply-chain-management-ms/" TargetMode="External"/><Relationship Id="rId104" Type="http://schemas.openxmlformats.org/officeDocument/2006/relationships/hyperlink" Target="https://career.wpcarey.asu.edu/" TargetMode="External"/><Relationship Id="rId120" Type="http://schemas.openxmlformats.org/officeDocument/2006/relationships/hyperlink" Target="https://www.business.rutgers.edu/masters-supply-chain-management/tuition-fees" TargetMode="External"/><Relationship Id="rId125" Type="http://schemas.openxmlformats.org/officeDocument/2006/relationships/hyperlink" Target="https://www.marshall.usc.edu/programs/graduate-programs/specialized-masters/ms-global-supply-chain-management" TargetMode="External"/><Relationship Id="rId141" Type="http://schemas.openxmlformats.org/officeDocument/2006/relationships/hyperlink" Target="https://scs.georgetown.edu/admissions/tuition/" TargetMode="External"/><Relationship Id="rId146" Type="http://schemas.openxmlformats.org/officeDocument/2006/relationships/hyperlink" Target="https://broad.msu.edu/masters/mba/career-outcomes/" TargetMode="External"/><Relationship Id="rId167" Type="http://schemas.openxmlformats.org/officeDocument/2006/relationships/hyperlink" Target="https://www.business.rutgers.edu/masters-supply-chain-management/tuition-fees" TargetMode="External"/><Relationship Id="rId7" Type="http://schemas.openxmlformats.org/officeDocument/2006/relationships/hyperlink" Target="https://scs.georgetown.edu/programs/503/online/online-masters-in-supply-chain-management/" TargetMode="External"/><Relationship Id="rId71" Type="http://schemas.openxmlformats.org/officeDocument/2006/relationships/hyperlink" Target="https://www.usnews.com/education/online-education/pennsylvania-state-university-world-campus-OBUS0467/mba" TargetMode="External"/><Relationship Id="rId92" Type="http://schemas.openxmlformats.org/officeDocument/2006/relationships/hyperlink" Target="https://grad.msu.edu/graduate-student-organizations" TargetMode="External"/><Relationship Id="rId162"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83" Type="http://schemas.openxmlformats.org/officeDocument/2006/relationships/hyperlink" Target="https://scs.georgetown.edu/programs/503/online/online-masters-in-supply-chain-management/" TargetMode="External"/><Relationship Id="rId2" Type="http://schemas.openxmlformats.org/officeDocument/2006/relationships/hyperlink" Target="https://www.business.rutgers.edu/masters-supply-chain-management" TargetMode="External"/><Relationship Id="rId29" Type="http://schemas.openxmlformats.org/officeDocument/2006/relationships/hyperlink" Target="https://www.usnews.com/education/online-education/pennsylvania-state-university-world-campus-OBUS0467/mba" TargetMode="External"/><Relationship Id="rId24" Type="http://schemas.openxmlformats.org/officeDocument/2006/relationships/hyperlink" Target="https://www.usnews.com/education/online-education/pennsylvania-state-university-world-campus-OBUS0467/mba" TargetMode="External"/><Relationship Id="rId40" Type="http://schemas.openxmlformats.org/officeDocument/2006/relationships/hyperlink" Target="https://www.usnews.com/education/online-education/auburn-university-main-campus-OBUS0026/mba" TargetMode="External"/><Relationship Id="rId45" Type="http://schemas.openxmlformats.org/officeDocument/2006/relationships/hyperlink" Target="https://online.usc.edu/programs/global-supply-chain-management-gscm/" TargetMode="External"/><Relationship Id="rId66" Type="http://schemas.openxmlformats.org/officeDocument/2006/relationships/hyperlink" Target="https://www.usnews.com/education/online-education/arizona-state-university-OBUS0021/business?edu-2401-control=true" TargetMode="External"/><Relationship Id="rId87" Type="http://schemas.openxmlformats.org/officeDocument/2006/relationships/hyperlink" Target="https://msb.georgetown.edu/executive-mba/career/career-coaches/" TargetMode="External"/><Relationship Id="rId110" Type="http://schemas.openxmlformats.org/officeDocument/2006/relationships/hyperlink" Target="https://online.uky.edu/masters/supply-chain-management/ms" TargetMode="External"/><Relationship Id="rId115" Type="http://schemas.openxmlformats.org/officeDocument/2006/relationships/hyperlink" Target="https://scs.georgetown.edu/admissions/tuition/" TargetMode="External"/><Relationship Id="rId131" Type="http://schemas.openxmlformats.org/officeDocument/2006/relationships/hyperlink" Target="https://www.usnews.com/education/online-education/arizona-state-university-OBUS0021/business?edu-2401-control=true" TargetMode="External"/><Relationship Id="rId136" Type="http://schemas.openxmlformats.org/officeDocument/2006/relationships/hyperlink" Target="https://www.usnews.com/education/online-education/auburn-university-main-campus-OBUS0026/mba" TargetMode="External"/><Relationship Id="rId157" Type="http://schemas.openxmlformats.org/officeDocument/2006/relationships/hyperlink" Target="https://www.worldcampus.psu.edu/degrees-and-certificates/penn-state-online-supply-chain-management-masters-degree" TargetMode="External"/><Relationship Id="rId178" Type="http://schemas.openxmlformats.org/officeDocument/2006/relationships/hyperlink" Target="https://asuonline.asu.edu/what-it-costs" TargetMode="External"/><Relationship Id="rId61" Type="http://schemas.openxmlformats.org/officeDocument/2006/relationships/hyperlink" Target="https://www.usnews.com/education/online-education/mba/logistics-rankings?edu-2401-control=true" TargetMode="External"/><Relationship Id="rId82" Type="http://schemas.openxmlformats.org/officeDocument/2006/relationships/hyperlink" Target="https://premium.usnews.com/best-graduate-schools/top-business-schools/georgetown-university-01042" TargetMode="External"/><Relationship Id="rId152" Type="http://schemas.openxmlformats.org/officeDocument/2006/relationships/hyperlink" Target="https://stfrancis.edu/mba/" TargetMode="External"/><Relationship Id="rId173" Type="http://schemas.openxmlformats.org/officeDocument/2006/relationships/hyperlink" Target="https://stfrancis.edu/mba/" TargetMode="External"/><Relationship Id="rId19" Type="http://schemas.openxmlformats.org/officeDocument/2006/relationships/hyperlink" Target="https://www.usnews.com/education/online-education/purdue-university-main-campus-OEDU0558/education" TargetMode="External"/><Relationship Id="rId14" Type="http://schemas.openxmlformats.org/officeDocument/2006/relationships/hyperlink" Target="https://business.purdue.edu/online/programs/ms-global-supply-chain-management/msgscm-fact-sheet.pdf" TargetMode="External"/><Relationship Id="rId30" Type="http://schemas.openxmlformats.org/officeDocument/2006/relationships/hyperlink" Target="https://www.usnews.com/education/online-education/pennsylvania-state-university-world-campus-OBUS0467/mba" TargetMode="External"/><Relationship Id="rId35" Type="http://schemas.openxmlformats.org/officeDocument/2006/relationships/hyperlink" Target="https://www.usnews.com/education/online-education/university-of-nebraska-lincoln-OBUS0726/mba" TargetMode="External"/><Relationship Id="rId56" Type="http://schemas.openxmlformats.org/officeDocument/2006/relationships/hyperlink" Target="https://www.business.rutgers.edu/masters-supply-chain-management" TargetMode="External"/><Relationship Id="rId77" Type="http://schemas.openxmlformats.org/officeDocument/2006/relationships/hyperlink" Target="https://www.bu.edu/careers/resources/identity-affinity/" TargetMode="External"/><Relationship Id="rId100" Type="http://schemas.openxmlformats.org/officeDocument/2006/relationships/hyperlink" Target="https://www.smeal.psu.edu/alumni/alumni-career-services" TargetMode="External"/><Relationship Id="rId105" Type="http://schemas.openxmlformats.org/officeDocument/2006/relationships/hyperlink" Target="https://business.unl.edu/business-career-center/" TargetMode="External"/><Relationship Id="rId126" Type="http://schemas.openxmlformats.org/officeDocument/2006/relationships/hyperlink" Target="https://www.usnews.com/education/online-education/purdue-university-main-campus-OEDU0558/education" TargetMode="External"/><Relationship Id="rId147" Type="http://schemas.openxmlformats.org/officeDocument/2006/relationships/hyperlink" Target="https://haslam.utk.edu/gsci/news/supply-chain-management-career-path/" TargetMode="External"/><Relationship Id="rId168" Type="http://schemas.openxmlformats.org/officeDocument/2006/relationships/hyperlink" Target="https://www.business.rutgers.edu/masters-supply-chain-management/tuition-fees" TargetMode="External"/><Relationship Id="rId8" Type="http://schemas.openxmlformats.org/officeDocument/2006/relationships/hyperlink" Target="https://asuonline.asu.edu/online-degree-programs/graduate/supply-chain-management-ms/" TargetMode="External"/><Relationship Id="rId51" Type="http://schemas.openxmlformats.org/officeDocument/2006/relationships/hyperlink" Target="https://www.usnews.com/education/online-education/university-of-southern-california-OBUS0767/mba" TargetMode="External"/><Relationship Id="rId72" Type="http://schemas.openxmlformats.org/officeDocument/2006/relationships/hyperlink" Target="https://explore.michiganstateuniversityonline.com/ms-scm?utm_source=google&amp;utm_medium=cpc&amp;utm_campaign=MSU_FY2026_Google_Grad_Search_SCM_Brand&amp;utm_content=&amp;utm_term=msu%20masters%20in%20supply%20chain&amp;utm_matchtype=e&amp;utm_network=g&amp;campaignid=701R700000YGj2TIAT&amp;utm_adposition=&amp;device=c&amp;vendorid=2109937&amp;gad_source=1&amp;gad_campaignid=22882753646&amp;gbraid=0AAAAAD_Vru_TcQyWfEKvyDbYZPo8mz3P3&amp;gclid=CjwKCAjwlOrFBhBaEiwAw4bYDalXDJdpkNTNBnHu6pqXocSOb41HVxRhEoMNmGEunqCG_DFmWeEbFxoCS7kQAvD_BwE" TargetMode="External"/><Relationship Id="rId93" Type="http://schemas.openxmlformats.org/officeDocument/2006/relationships/hyperlink" Target="https://broad.msu.edu/career-management/graduate/" TargetMode="External"/><Relationship Id="rId98" Type="http://schemas.openxmlformats.org/officeDocument/2006/relationships/hyperlink" Target="https://haslam.utk.edu/access/student-experience/" TargetMode="External"/><Relationship Id="rId121" Type="http://schemas.openxmlformats.org/officeDocument/2006/relationships/hyperlink" Target="https://www.usnews.com/education/online-education/pennsylvania-state-university-world-campus-OBUS0467/mba" TargetMode="External"/><Relationship Id="rId142"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63" Type="http://schemas.openxmlformats.org/officeDocument/2006/relationships/hyperlink" Target="https://volsonline.utk.edu/program/masters/supply-chain-management-ms-2/?an_lnexaud=an_ln_exaudjk6w78s3aw12" TargetMode="External"/><Relationship Id="rId3" Type="http://schemas.openxmlformats.org/officeDocument/2006/relationships/hyperlink" Target="https://online.unl.edu/major/graduate/master-supply-chain-management/" TargetMode="External"/><Relationship Id="rId25" Type="http://schemas.openxmlformats.org/officeDocument/2006/relationships/hyperlink" Target="https://www.usnews.com/education/online-education/pennsylvania-state-university-world-campus-OBUS0467/mba" TargetMode="External"/><Relationship Id="rId46" Type="http://schemas.openxmlformats.org/officeDocument/2006/relationships/hyperlink" Target="https://www.marshall.usc.edu/programs/graduate-programs/specialized-masters/ms-global-supply-chain-management" TargetMode="External"/><Relationship Id="rId67" Type="http://schemas.openxmlformats.org/officeDocument/2006/relationships/hyperlink" Target="https://www.best-masters.com/master-supply-chain-and-logistics-ranking/usa.html" TargetMode="External"/><Relationship Id="rId116" Type="http://schemas.openxmlformats.org/officeDocument/2006/relationships/hyperlink" Target="https://scs.georgetown.edu/admissions/tuition/" TargetMode="External"/><Relationship Id="rId137" Type="http://schemas.openxmlformats.org/officeDocument/2006/relationships/hyperlink" Target="https://www.usnews.com/education/online-education/university-of-southern-california-OBUS0767/mba" TargetMode="External"/><Relationship Id="rId158" Type="http://schemas.openxmlformats.org/officeDocument/2006/relationships/hyperlink" Target="https://www.worldcampus.psu.edu/degrees-and-certificates/penn-state-online-supply-chain-management-masters-degree" TargetMode="External"/><Relationship Id="rId20" Type="http://schemas.openxmlformats.org/officeDocument/2006/relationships/hyperlink" Target="https://www.usnews.com/education/online-education/purdue-university-main-campus-OEDU0558/education" TargetMode="External"/><Relationship Id="rId41" Type="http://schemas.openxmlformats.org/officeDocument/2006/relationships/hyperlink" Target="https://www.usnews.com/education/online-education/auburn-university-main-campus-OBUS0026/mba" TargetMode="External"/><Relationship Id="rId62" Type="http://schemas.openxmlformats.org/officeDocument/2006/relationships/hyperlink" Target="https://online.uky.edu/masters/supply-chain-management/ms" TargetMode="External"/><Relationship Id="rId83" Type="http://schemas.openxmlformats.org/officeDocument/2006/relationships/hyperlink" Target="https://premium.usnews.com/best-graduate-schools/top-business-schools/georgetown-university-01042" TargetMode="External"/><Relationship Id="rId88" Type="http://schemas.openxmlformats.org/officeDocument/2006/relationships/hyperlink" Target="https://www.business.rutgers.edu/employers-recruiters/graduate" TargetMode="External"/><Relationship Id="rId111" Type="http://schemas.openxmlformats.org/officeDocument/2006/relationships/hyperlink" Target="https://studentsuccess.uky.edu/financial-aid-and-scholarships/cost-attendance" TargetMode="External"/><Relationship Id="rId132" Type="http://schemas.openxmlformats.org/officeDocument/2006/relationships/hyperlink" Target="https://studentsuccess.uky.edu/financial-aid-and-scholarships/cost-attendance" TargetMode="External"/><Relationship Id="rId153" Type="http://schemas.openxmlformats.org/officeDocument/2006/relationships/hyperlink" Target="https://stfrancis.edu/mba/" TargetMode="External"/><Relationship Id="rId174" Type="http://schemas.openxmlformats.org/officeDocument/2006/relationships/hyperlink" Target="https://stfrancis.edu/mba/" TargetMode="External"/><Relationship Id="rId179" Type="http://schemas.openxmlformats.org/officeDocument/2006/relationships/hyperlink" Target="https://online.unl.edu/major/graduate/master-supply-chain-management/" TargetMode="External"/><Relationship Id="rId15" Type="http://schemas.openxmlformats.org/officeDocument/2006/relationships/hyperlink" Target="https://business.purdue.edu/online/programs/ms-global-supply-chain-management/msgscm-fact-sheet.pdf" TargetMode="External"/><Relationship Id="rId36" Type="http://schemas.openxmlformats.org/officeDocument/2006/relationships/hyperlink" Target="https://online.unl.edu/major/graduate/master-supply-chain-management/" TargetMode="External"/><Relationship Id="rId57" Type="http://schemas.openxmlformats.org/officeDocument/2006/relationships/hyperlink" Target="https://www.business.rutgers.edu/masters-supply-chain-management" TargetMode="External"/><Relationship Id="rId106" Type="http://schemas.openxmlformats.org/officeDocument/2006/relationships/hyperlink" Target="https://harbert.auburn.edu/current-students/graduate-career-services/index.html" TargetMode="External"/><Relationship Id="rId127"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0" Type="http://schemas.openxmlformats.org/officeDocument/2006/relationships/hyperlink" Target="https://volsonline.utk.edu/program/masters/supply-chain-management-ms/" TargetMode="External"/><Relationship Id="rId31" Type="http://schemas.openxmlformats.org/officeDocument/2006/relationships/hyperlink" Target="https://www.psu.edu/news/world-campus/story/penn-state-world-campus-affinity-groups-help-connect-students" TargetMode="External"/><Relationship Id="rId52" Type="http://schemas.openxmlformats.org/officeDocument/2006/relationships/hyperlink" Target="https://clubs.marshall.usc.edu/affinity/about/" TargetMode="External"/><Relationship Id="rId73" Type="http://schemas.openxmlformats.org/officeDocument/2006/relationships/hyperlink" Target="https://explore.michiganstateuniversityonline.com/ms-scm?utm_source=google&amp;utm_medium=cpc&amp;utm_campaign=MSU_FY2026_Google_Grad_Search_SCM_Brand&amp;utm_content=&amp;utm_term=msu%20masters%20in%20supply%20chain&amp;utm_matchtype=e&amp;utm_network=g&amp;campaignid=701R700000YGj2TIAT&amp;utm_adposition=&amp;device=c&amp;vendorid=2109937&amp;gad_source=1&amp;gad_campaignid=22882753646&amp;gbraid=0AAAAAD_Vru_TcQyWfEKvyDbYZPo8mz3P3&amp;gclid=CjwKCAjwlOrFBhBaEiwAw4bYDalXDJdpkNTNBnHu6pqXocSOb41HVxRhEoMNmGEunqCG_DFmWeEbFxoCS7kQAvD_BwE" TargetMode="External"/><Relationship Id="rId78" Type="http://schemas.openxmlformats.org/officeDocument/2006/relationships/hyperlink" Target="https://questromfeld.bu.edu/channels/meet-your-career-coach-mba/" TargetMode="External"/><Relationship Id="rId94" Type="http://schemas.openxmlformats.org/officeDocument/2006/relationships/hyperlink" Target="https://business.purdue.edu/online/programs/ms-global-supply-chain-management/curriculum.php" TargetMode="External"/><Relationship Id="rId99" Type="http://schemas.openxmlformats.org/officeDocument/2006/relationships/hyperlink" Target="https://studentsuccess.utk.edu/career/students/graduate-students/" TargetMode="External"/><Relationship Id="rId101" Type="http://schemas.openxmlformats.org/officeDocument/2006/relationships/hyperlink" Target="https://uknow.uky.edu/professional-news/affinity-groups-created-benefit-uk-faculty-staff" TargetMode="External"/><Relationship Id="rId122"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43" Type="http://schemas.openxmlformats.org/officeDocument/2006/relationships/hyperlink" Target="https://business.purdue.edu/online/career-outcomes.php" TargetMode="External"/><Relationship Id="rId148" Type="http://schemas.openxmlformats.org/officeDocument/2006/relationships/hyperlink" Target="https://harbert.auburn.edu/about/quick-facts.html" TargetMode="External"/><Relationship Id="rId164" Type="http://schemas.openxmlformats.org/officeDocument/2006/relationships/hyperlink" Target="https://volsonline.utk.edu/program/masters/supply-chain-management-ms-2/?an_lnexaud=an_ln_exaudjk6w78s3aw12" TargetMode="External"/><Relationship Id="rId169" Type="http://schemas.openxmlformats.org/officeDocument/2006/relationships/hyperlink" Target="https://www.business.rutgers.edu/masters-supply-chain-management/tuition-fees" TargetMode="External"/><Relationship Id="rId4" Type="http://schemas.openxmlformats.org/officeDocument/2006/relationships/hyperlink" Target="https://harbert.auburn.edu/degrees-programs/graduate/ms-supply-chain-online/index.html" TargetMode="External"/><Relationship Id="rId9" Type="http://schemas.openxmlformats.org/officeDocument/2006/relationships/hyperlink" Target="http://online.uky.edu/masters/supply-chain-management/ms" TargetMode="External"/><Relationship Id="rId180" Type="http://schemas.openxmlformats.org/officeDocument/2006/relationships/hyperlink" Target="https://harbert.auburn.edu/degrees-programs/graduate/ms-supply-chain-online/tuition-financial-assistance.html" TargetMode="External"/><Relationship Id="rId26" Type="http://schemas.openxmlformats.org/officeDocument/2006/relationships/hyperlink" Target="https://www.usnews.com/education/online-education/pennsylvania-state-university-world-campus-OBUS0467/mba" TargetMode="External"/><Relationship Id="rId47" Type="http://schemas.openxmlformats.org/officeDocument/2006/relationships/hyperlink" Target="https://www.marshall.usc.edu/programs/graduate-programs/specialized-masters/ms-global-supply-chain-management" TargetMode="External"/><Relationship Id="rId68" Type="http://schemas.openxmlformats.org/officeDocument/2006/relationships/hyperlink" Target="https://www.topuniversities.com/business-masters-rankings/supply-chain-management?search=ariz" TargetMode="External"/><Relationship Id="rId89" Type="http://schemas.openxmlformats.org/officeDocument/2006/relationships/hyperlink" Target="https://grad.rutgers.edu/affinity-groups-graduate-students" TargetMode="External"/><Relationship Id="rId112" Type="http://schemas.openxmlformats.org/officeDocument/2006/relationships/hyperlink" Target="https://wpcarey.asu.edu/masters-programs/online-supply-chain-management/experience" TargetMode="External"/><Relationship Id="rId133" Type="http://schemas.openxmlformats.org/officeDocument/2006/relationships/hyperlink" Target="https://scs.georgetown.edu/admissions/tuition/" TargetMode="External"/><Relationship Id="rId154" Type="http://schemas.openxmlformats.org/officeDocument/2006/relationships/hyperlink" Target="https://stfrancis.edu/student-life/clubs-organizations-honor-societies/" TargetMode="External"/><Relationship Id="rId175" Type="http://schemas.openxmlformats.org/officeDocument/2006/relationships/hyperlink" Target="https://www.usnews.com/education/online-education/arizona-state-university-OBUS0021/business?edu-2401-control=true" TargetMode="External"/><Relationship Id="rId16" Type="http://schemas.openxmlformats.org/officeDocument/2006/relationships/hyperlink" Target="https://www.usnews.com/education/online-education/purdue-university-main-campus-OEDU0558/education" TargetMode="External"/><Relationship Id="rId37" Type="http://schemas.openxmlformats.org/officeDocument/2006/relationships/hyperlink" Target="https://www.usnews.com/education/online-education/university-of-nebraska-lincoln-OBUS0726/mba" TargetMode="External"/><Relationship Id="rId58" Type="http://schemas.openxmlformats.org/officeDocument/2006/relationships/hyperlink" Target="https://www.usnews.com/education/online-education/the-university-of-tennessee-OBUS0775/business?edu-2401-control=true" TargetMode="External"/><Relationship Id="rId79" Type="http://schemas.openxmlformats.org/officeDocument/2006/relationships/hyperlink" Target="https://premium.usnews.com/best-graduate-schools/top-business-schools/georgetown-university-01042" TargetMode="External"/><Relationship Id="rId102" Type="http://schemas.openxmlformats.org/officeDocument/2006/relationships/hyperlink" Target="https://alumni.asu.edu/affinity-network" TargetMode="External"/><Relationship Id="rId123" Type="http://schemas.openxmlformats.org/officeDocument/2006/relationships/hyperlink" Target="https://www.michiganstateuniversityonline.com/admissions/degree-tuition-financial-aid/?utm_source=google&amp;utm_medium=cpc&amp;utm_campaign=MSU_FY2026_Google_Grad_Search_SCM_Brand&amp;utm_content=&amp;utm_term=michigan%20state%20university%20supply%20chain%20management%20degree&amp;utm_matchtype=p&amp;utm_network=g&amp;campaignid=701R700000YGj2TIAT&amp;utm_adposition=&amp;device=c&amp;vendorid=2109937&amp;gad_source=1&amp;gad_campaignid=22882753646&amp;gbraid=0AAAAAD_Vru-RBJMnct_nq7OUU9HKCxDbH&amp;gclid=CjwKCAjw_fnFBhB0EiwAH_MfZll22gycng6cv1SSalEVBAjodC2_GMt5xf8M-60LjgO9IRd5_6DVwxoC8NYQAvD_BwE" TargetMode="External"/><Relationship Id="rId144" Type="http://schemas.openxmlformats.org/officeDocument/2006/relationships/hyperlink" Target="https://www.business.rutgers.edu/sites/default/files/documents/ms-scm-summary.pdf" TargetMode="External"/><Relationship Id="rId90" Type="http://schemas.openxmlformats.org/officeDocument/2006/relationships/hyperlink" Target="https://www.business.rutgers.edu/full-time-mba/student-services" TargetMode="External"/><Relationship Id="rId165" Type="http://schemas.openxmlformats.org/officeDocument/2006/relationships/hyperlink" Target="https://volsonline.utk.edu/program/masters/supply-chain-management-ms-2/?an_lnexaud=an_ln_exaudjk6w78s3aw12" TargetMode="External"/><Relationship Id="rId27" Type="http://schemas.openxmlformats.org/officeDocument/2006/relationships/hyperlink" Target="https://www.usnews.com/education/online-education/pennsylvania-state-university-world-campus-OBUS0467/mba" TargetMode="External"/><Relationship Id="rId48" Type="http://schemas.openxmlformats.org/officeDocument/2006/relationships/hyperlink" Target="https://uscmarshallweb.s3-us-west-2.amazonaws.com/assets/uploads/s1/files/msgscm_updated_2_01_i0zfwxr25r.pdf" TargetMode="External"/><Relationship Id="rId69" Type="http://schemas.openxmlformats.org/officeDocument/2006/relationships/hyperlink" Target="https://www.usnews.com/education/online-education/university-of-kentucky-OBUS0697/business?edu-2401-control=true" TargetMode="External"/><Relationship Id="rId113" Type="http://schemas.openxmlformats.org/officeDocument/2006/relationships/hyperlink" Target="https://business.unl.edu/graduate-programs/online-masters-programs/ms-supply-chain-management/" TargetMode="External"/><Relationship Id="rId134" Type="http://schemas.openxmlformats.org/officeDocument/2006/relationships/hyperlink" Target="https://www.usnews.com/education/online-education/the-university-of-tennessee-OBUS0775/business?edu-2401-control=true" TargetMode="External"/><Relationship Id="rId80" Type="http://schemas.openxmlformats.org/officeDocument/2006/relationships/hyperlink" Target="https://premium.usnews.com/best-graduate-schools/top-business-schools/georgetown-university-01042" TargetMode="External"/><Relationship Id="rId155" Type="http://schemas.openxmlformats.org/officeDocument/2006/relationships/hyperlink" Target="https://stfrancis.edu/career-success-center/" TargetMode="External"/><Relationship Id="rId176" Type="http://schemas.openxmlformats.org/officeDocument/2006/relationships/hyperlink" Target="https://asuonline.asu.edu/what-it-costs" TargetMode="External"/><Relationship Id="rId17" Type="http://schemas.openxmlformats.org/officeDocument/2006/relationships/hyperlink" Target="https://www.usnews.com/education/online-education/purdue-university-main-campus-OEDU0558/education" TargetMode="External"/><Relationship Id="rId38" Type="http://schemas.openxmlformats.org/officeDocument/2006/relationships/hyperlink" Target="https://www.usnews.com/education/online-education/university-of-nebraska-lincoln-OBUS0726/mba" TargetMode="External"/><Relationship Id="rId59" Type="http://schemas.openxmlformats.org/officeDocument/2006/relationships/hyperlink" Target="https://www.usnews.com/education/online-education/the-university-of-tennessee-OBUS0775/business?edu-2401-control=true" TargetMode="External"/><Relationship Id="rId103" Type="http://schemas.openxmlformats.org/officeDocument/2006/relationships/hyperlink" Target="https://gradschool.uky.edu/professional-enhancement/career" TargetMode="External"/><Relationship Id="rId124" Type="http://schemas.openxmlformats.org/officeDocument/2006/relationships/hyperlink" Target="https://business.purdue.edu/online/programs/ms-global-supply-chain-management/" TargetMode="External"/><Relationship Id="rId70" Type="http://schemas.openxmlformats.org/officeDocument/2006/relationships/hyperlink" Target="https://online.uky.edu/masters/supply-chain-management/ms" TargetMode="External"/><Relationship Id="rId91" Type="http://schemas.openxmlformats.org/officeDocument/2006/relationships/hyperlink" Target="https://www.usnews.com/education/online-education/pennsylvania-state-university-world-campus-OBUS0467/mba" TargetMode="External"/><Relationship Id="rId145" Type="http://schemas.openxmlformats.org/officeDocument/2006/relationships/hyperlink" Target="https://broad.msu.edu/about/outcomes/" TargetMode="External"/><Relationship Id="rId166" Type="http://schemas.openxmlformats.org/officeDocument/2006/relationships/hyperlink" Target="https://www.business.rutgers.edu/masters-supply-chain-management/tuition-fees" TargetMode="External"/><Relationship Id="rId1" Type="http://schemas.openxmlformats.org/officeDocument/2006/relationships/hyperlink" Target="https://www.worldcampus.psu.edu/degrees-and-certificates/penn-state-online-supply-chain-management-masters-degree" TargetMode="External"/><Relationship Id="rId28" Type="http://schemas.openxmlformats.org/officeDocument/2006/relationships/hyperlink" Target="https://www.usnews.com/education/online-education/pennsylvania-state-university-world-campus-OBUS0467/mba" TargetMode="External"/><Relationship Id="rId49" Type="http://schemas.openxmlformats.org/officeDocument/2006/relationships/hyperlink" Target="https://www.usnews.com/education/online-education/university-of-southern-california-OBUS0767/mba" TargetMode="External"/><Relationship Id="rId114" Type="http://schemas.openxmlformats.org/officeDocument/2006/relationships/hyperlink" Target="https://harbert.auburn.edu/degrees-programs/graduate/ms-supply-chain-online/index.html"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business.purdue.edu/careers/graduate/" TargetMode="External"/><Relationship Id="rId21" Type="http://schemas.openxmlformats.org/officeDocument/2006/relationships/hyperlink" Target="https://online.business.gwu.edu/master-human-resource-management" TargetMode="External"/><Relationship Id="rId42" Type="http://schemas.openxmlformats.org/officeDocument/2006/relationships/hyperlink" Target="https://www.usnews.com/education/online-education/university-of-southern-california-OBUS0767/business" TargetMode="External"/><Relationship Id="rId63" Type="http://schemas.openxmlformats.org/officeDocument/2006/relationships/hyperlink" Target="https://www.usnews.com/education/online-education/pepperdine-university-OBUS0468/mba" TargetMode="External"/><Relationship Id="rId84" Type="http://schemas.openxmlformats.org/officeDocument/2006/relationships/hyperlink" Target="https://www.usnews.com/education/online-education/temple-university-OBUS0610/business" TargetMode="External"/><Relationship Id="rId138" Type="http://schemas.openxmlformats.org/officeDocument/2006/relationships/hyperlink" Target="https://onlinedegrees.purdue.edu/purdue-global/business/ms-management/?creative=522076577888&amp;device=c&amp;matchtype=b&amp;network=g&amp;gclsrc=aw.ds&amp;source=SF55042&amp;ve=62295&amp;utm_source=Google&amp;utm_medium=CPC&amp;utm_campaign=pgo_sem_gsa_pros_inq_br_purdue_np_nonprog_ms_mbr&amp;utm_term=106567726-VQ2-g-VQ6-522076577888-VQ16-c-Target-kwd-426366233733&amp;gad_source=1&amp;gad_campaignid=9324055627&amp;gbraid=0AAAAAClj6H-fmbBKFXCzlI6wjt78RRzqx&amp;gclid=CjwKCAjw_fnFBhB0EiwAH_MfZgOr2pcGGr9KNhrzkJDMtE6f3j9wlpWnYOcFSwHS1gcQ__aZY2gqXBoCzOQQAvD_BwE" TargetMode="External"/><Relationship Id="rId159" Type="http://schemas.openxmlformats.org/officeDocument/2006/relationships/hyperlink" Target="https://www.usnews.com/education/online-education/pepperdine-university-OBUS0468/mba" TargetMode="External"/><Relationship Id="rId170" Type="http://schemas.openxmlformats.org/officeDocument/2006/relationships/hyperlink" Target="https://ler.illinois.edu/our-programs/human-resources-masters/where-grads-work/" TargetMode="External"/><Relationship Id="rId191" Type="http://schemas.openxmlformats.org/officeDocument/2006/relationships/hyperlink" Target="https://www.stonybrook.edu/commcms/online-masters-in-human-resource-management/costs-and-aid/index.php" TargetMode="External"/><Relationship Id="rId107" Type="http://schemas.openxmlformats.org/officeDocument/2006/relationships/hyperlink" Target="https://www.careercenter.illinois.edu/services/careercoaching" TargetMode="External"/><Relationship Id="rId11" Type="http://schemas.openxmlformats.org/officeDocument/2006/relationships/hyperlink" Target="https://bschool.pepperdine.edu/online-masters-human-resources/" TargetMode="External"/><Relationship Id="rId32" Type="http://schemas.openxmlformats.org/officeDocument/2006/relationships/hyperlink" Target="https://www.usnews.com/education/online-education/george-washington-university-OBUS0231/business" TargetMode="External"/><Relationship Id="rId53" Type="http://schemas.openxmlformats.org/officeDocument/2006/relationships/hyperlink" Target="https://business.fiu.edu/alumni/groups/" TargetMode="External"/><Relationship Id="rId74" Type="http://schemas.openxmlformats.org/officeDocument/2006/relationships/hyperlink" Target="https://www.usnews.com/education/online-education/stony-brook-university-suny-OBUS0595/business" TargetMode="External"/><Relationship Id="rId128" Type="http://schemas.openxmlformats.org/officeDocument/2006/relationships/hyperlink" Target="https://www.best-masters.com/master-human-resources-management-ranking/north-america.html" TargetMode="External"/><Relationship Id="rId149" Type="http://schemas.openxmlformats.org/officeDocument/2006/relationships/hyperlink" Target="https://studentaffairs.psu.edu/penn-state-world-campus-affinity-groups-help-connect-students" TargetMode="External"/><Relationship Id="rId5" Type="http://schemas.openxmlformats.org/officeDocument/2006/relationships/hyperlink" Target="https://bschool.pepperdine.edu/online-masters-human-resources/" TargetMode="External"/><Relationship Id="rId95" Type="http://schemas.openxmlformats.org/officeDocument/2006/relationships/hyperlink" Target="https://online.illinois.edu/online-programs/graduate-programs/human-resources-industrial-relations" TargetMode="External"/><Relationship Id="rId160" Type="http://schemas.openxmlformats.org/officeDocument/2006/relationships/hyperlink" Target="https://www.usnews.com/education/online-education/stony-brook-university-suny-OBUS0595/business" TargetMode="External"/><Relationship Id="rId181" Type="http://schemas.openxmlformats.org/officeDocument/2006/relationships/hyperlink" Target="https://www.worldcampus.psu.edu/degrees-and-certificates/penn-state-online-human-resources-and-employment-relations-masters-degree" TargetMode="External"/><Relationship Id="rId22" Type="http://schemas.openxmlformats.org/officeDocument/2006/relationships/hyperlink" Target="https://info.business.gwu.edu/downloads/gw-business-online-masters-programs.pdf" TargetMode="External"/><Relationship Id="rId43" Type="http://schemas.openxmlformats.org/officeDocument/2006/relationships/hyperlink" Target="https://www.usnews.com/education/online-education/university-of-southern-california-OBUS0767/business" TargetMode="External"/><Relationship Id="rId64" Type="http://schemas.openxmlformats.org/officeDocument/2006/relationships/hyperlink" Target="https://www.usnews.com/education/online-education/pepperdine-university-OBUS0468/mba" TargetMode="External"/><Relationship Id="rId118" Type="http://schemas.openxmlformats.org/officeDocument/2006/relationships/hyperlink" Target="https://www.stonybrook.edu/commcms/online-masters-in-human-resource-management/curriculum/index.php?accordion=content-d19e909" TargetMode="External"/><Relationship Id="rId139" Type="http://schemas.openxmlformats.org/officeDocument/2006/relationships/hyperlink" Target="https://www.purdueglobal.edu/student-experience/student-life/communities-clubs/" TargetMode="External"/><Relationship Id="rId85" Type="http://schemas.openxmlformats.org/officeDocument/2006/relationships/hyperlink" Target="https://www.usnews.com/education/online-education/temple-university-OBUS0610/business" TargetMode="External"/><Relationship Id="rId150" Type="http://schemas.openxmlformats.org/officeDocument/2006/relationships/hyperlink" Target="https://www.worldcampus.psu.edu/degrees-and-certificates/penn-state-online-human-resources-and-employment-relations-masters-degree" TargetMode="External"/><Relationship Id="rId171" Type="http://schemas.openxmlformats.org/officeDocument/2006/relationships/hyperlink" Target="https://smlr.rutgers.edu/academic-programs/graduate-programs/online-professional-masters-human-resource-management-mhrm" TargetMode="External"/><Relationship Id="rId192" Type="http://schemas.openxmlformats.org/officeDocument/2006/relationships/vmlDrawing" Target="../drawings/vmlDrawing2.vml"/><Relationship Id="rId12" Type="http://schemas.openxmlformats.org/officeDocument/2006/relationships/hyperlink" Target="https://business.gwu.edu/academics/programs/international" TargetMode="External"/><Relationship Id="rId33" Type="http://schemas.openxmlformats.org/officeDocument/2006/relationships/hyperlink" Target="https://www.usnews.com/education/online-education/university-of-southern-california-OBUS0767/business" TargetMode="External"/><Relationship Id="rId108" Type="http://schemas.openxmlformats.org/officeDocument/2006/relationships/hyperlink" Target="https://mays.tamu.edu/recruit-at-mays/career-center/" TargetMode="External"/><Relationship Id="rId129" Type="http://schemas.openxmlformats.org/officeDocument/2006/relationships/hyperlink" Target="https://www.best-masters.com/master-human-resources-management-ranking/north-america.html" TargetMode="External"/><Relationship Id="rId54" Type="http://schemas.openxmlformats.org/officeDocument/2006/relationships/hyperlink" Target="https://business.fiu.edu/alumni/groups/" TargetMode="External"/><Relationship Id="rId75" Type="http://schemas.openxmlformats.org/officeDocument/2006/relationships/hyperlink" Target="https://www.usnews.com/education/online-education/stony-brook-university-suny-OBUS0595/business" TargetMode="External"/><Relationship Id="rId96" Type="http://schemas.openxmlformats.org/officeDocument/2006/relationships/hyperlink" Target="https://www.usnews.com/education/online-education/university-of-illinois-at-urbana-champaign-OEDU0794/education?edu-2401-control=true" TargetMode="External"/><Relationship Id="rId140" Type="http://schemas.openxmlformats.org/officeDocument/2006/relationships/hyperlink" Target="https://www.purdueglobal.edu/tuition-financial-aid/undergraduate-graduate-tuition-and-fees/" TargetMode="External"/><Relationship Id="rId161" Type="http://schemas.openxmlformats.org/officeDocument/2006/relationships/hyperlink" Target="https://www.usnews.com/education/online-education/temple-university-OBUS0610/business" TargetMode="External"/><Relationship Id="rId182" Type="http://schemas.openxmlformats.org/officeDocument/2006/relationships/hyperlink" Target="https://online.illinois.edu/student-services/online-degrees-and-certificates-program-costs-2025-2026" TargetMode="External"/><Relationship Id="rId6" Type="http://schemas.openxmlformats.org/officeDocument/2006/relationships/hyperlink" Target="https://hrm.business.uconn.edu/programs/hrm-online-ms-degree/" TargetMode="External"/><Relationship Id="rId23" Type="http://schemas.openxmlformats.org/officeDocument/2006/relationships/hyperlink" Target="https://www.usnews.com/education/online-education/george-washington-university-OBUS0231/business" TargetMode="External"/><Relationship Id="rId119" Type="http://schemas.openxmlformats.org/officeDocument/2006/relationships/hyperlink" Target="https://www.stonybrook.edu/alumni/informed/alumni-group-guide.php" TargetMode="External"/><Relationship Id="rId44" Type="http://schemas.openxmlformats.org/officeDocument/2006/relationships/hyperlink" Target="https://www.usnews.com/education/online-education/florida-international-university-OBUS0211/business" TargetMode="External"/><Relationship Id="rId65" Type="http://schemas.openxmlformats.org/officeDocument/2006/relationships/hyperlink" Target="https://www.usnews.com/education/online-education/pepperdine-university-OBUS0468/mba" TargetMode="External"/><Relationship Id="rId86" Type="http://schemas.openxmlformats.org/officeDocument/2006/relationships/hyperlink" Target="https://www.usnews.com/education/online-education/temple-university-OBUS0610/business" TargetMode="External"/><Relationship Id="rId130" Type="http://schemas.openxmlformats.org/officeDocument/2006/relationships/hyperlink" Target="https://www.best-masters.com/master-human-resources-management-ranking/north-america.html" TargetMode="External"/><Relationship Id="rId151" Type="http://schemas.openxmlformats.org/officeDocument/2006/relationships/hyperlink" Target="https://www.worldcampus.psu.edu/degrees-and-certificates/penn-state-online-human-resources-and-employment-relations-masters-degree" TargetMode="External"/><Relationship Id="rId172" Type="http://schemas.openxmlformats.org/officeDocument/2006/relationships/hyperlink" Target="https://grad.rutgers.edu/affinity-groups-graduate-students" TargetMode="External"/><Relationship Id="rId193" Type="http://schemas.openxmlformats.org/officeDocument/2006/relationships/comments" Target="../comments2.xml"/><Relationship Id="rId13" Type="http://schemas.openxmlformats.org/officeDocument/2006/relationships/hyperlink" Target="https://www.usnews.com/education/online-education/university-of-southern-california-OBUS0767/business" TargetMode="External"/><Relationship Id="rId109" Type="http://schemas.openxmlformats.org/officeDocument/2006/relationships/hyperlink" Target="https://grad.business.uconn.edu/career/" TargetMode="External"/><Relationship Id="rId34" Type="http://schemas.openxmlformats.org/officeDocument/2006/relationships/hyperlink" Target="https://www.usnews.com/education/online-education/university-of-southern-california-OBUS0767/business" TargetMode="External"/><Relationship Id="rId50" Type="http://schemas.openxmlformats.org/officeDocument/2006/relationships/hyperlink" Target="https://www.usnews.com/education/online-education/florida-international-university-OBUS0211/business" TargetMode="External"/><Relationship Id="rId55" Type="http://schemas.openxmlformats.org/officeDocument/2006/relationships/hyperlink" Target="https://business.fiu.edu/alumni/groups/" TargetMode="External"/><Relationship Id="rId76" Type="http://schemas.openxmlformats.org/officeDocument/2006/relationships/hyperlink" Target="https://www.usnews.com/education/online-education/stony-brook-university-suny-OBUS0595/business" TargetMode="External"/><Relationship Id="rId97" Type="http://schemas.openxmlformats.org/officeDocument/2006/relationships/hyperlink" Target="https://www.usnews.com/education/online-education/university-of-illinois-at-urbana-champaign-OEDU0794/education?edu-2401-control=true" TargetMode="External"/><Relationship Id="rId104" Type="http://schemas.openxmlformats.org/officeDocument/2006/relationships/hyperlink" Target="https://www.worldcampus.psu.edu/degrees-and-certificates/penn-state-online-human-resources-and-employment-relations-masters-degree" TargetMode="External"/><Relationship Id="rId120" Type="http://schemas.openxmlformats.org/officeDocument/2006/relationships/hyperlink" Target="https://business.fiu.edu/faculty-and-research/centers-institutes/pino/experiential-immersion/" TargetMode="External"/><Relationship Id="rId125" Type="http://schemas.openxmlformats.org/officeDocument/2006/relationships/hyperlink" Target="https://premium.usnews.com/best-graduate-schools/top-business-schools/purdue-university-main-campus-01083" TargetMode="External"/><Relationship Id="rId141" Type="http://schemas.openxmlformats.org/officeDocument/2006/relationships/hyperlink" Target="https://giesbusiness.illinois.edu/experience/experiential-learning" TargetMode="External"/><Relationship Id="rId146" Type="http://schemas.openxmlformats.org/officeDocument/2006/relationships/hyperlink" Target="https://career.uconn.edu/channels/affinity-communities/" TargetMode="External"/><Relationship Id="rId167" Type="http://schemas.openxmlformats.org/officeDocument/2006/relationships/hyperlink" Target="https://www.usnews.com/education/online-education/temple-university-OBUS0610/business" TargetMode="External"/><Relationship Id="rId188" Type="http://schemas.openxmlformats.org/officeDocument/2006/relationships/hyperlink" Target="https://studentaccounts.gwu.edu/graduate-tuition-GWSB-FY26" TargetMode="External"/><Relationship Id="rId7" Type="http://schemas.openxmlformats.org/officeDocument/2006/relationships/hyperlink" Target="https://www.stonybrook.edu/commcms/online-masters-in-human-resource-management/index.php" TargetMode="External"/><Relationship Id="rId71" Type="http://schemas.openxmlformats.org/officeDocument/2006/relationships/hyperlink" Target="https://www.usnews.com/education/online-education/stony-brook-university-suny-OBUS0595/business" TargetMode="External"/><Relationship Id="rId92" Type="http://schemas.openxmlformats.org/officeDocument/2006/relationships/hyperlink" Target="https://www.usnews.com/education/online-education/temple-university-OBUS0610/business" TargetMode="External"/><Relationship Id="rId162" Type="http://schemas.openxmlformats.org/officeDocument/2006/relationships/hyperlink" Target="https://www.usnews.com/education/online-education/george-washington-university-OBUS0231/business" TargetMode="External"/><Relationship Id="rId183" Type="http://schemas.openxmlformats.org/officeDocument/2006/relationships/hyperlink" Target="https://tuition.tamu.edu/graduate" TargetMode="External"/><Relationship Id="rId2" Type="http://schemas.openxmlformats.org/officeDocument/2006/relationships/hyperlink" Target="https://smlr.rutgers.edu/academic-programs/graduate-programs/online-professional-masters-human-resource-management-mhrm" TargetMode="External"/><Relationship Id="rId29" Type="http://schemas.openxmlformats.org/officeDocument/2006/relationships/hyperlink" Target="https://www.usnews.com/education/online-education/george-washington-university-OBUS0231/business" TargetMode="External"/><Relationship Id="rId24" Type="http://schemas.openxmlformats.org/officeDocument/2006/relationships/hyperlink" Target="https://www.usnews.com/education/online-education/business/rankings" TargetMode="External"/><Relationship Id="rId40" Type="http://schemas.openxmlformats.org/officeDocument/2006/relationships/hyperlink" Target="https://www.usnews.com/education/online-education/university-of-southern-california-OBUS0767/business" TargetMode="External"/><Relationship Id="rId45" Type="http://schemas.openxmlformats.org/officeDocument/2006/relationships/hyperlink" Target="https://www.usnews.com/education/online-education/florida-international-university-OBUS0211/business" TargetMode="External"/><Relationship Id="rId66" Type="http://schemas.openxmlformats.org/officeDocument/2006/relationships/hyperlink" Target="https://www.usnews.com/education/online-education/pepperdine-university-OBUS0468/mba" TargetMode="External"/><Relationship Id="rId87" Type="http://schemas.openxmlformats.org/officeDocument/2006/relationships/hyperlink" Target="https://www.usnews.com/education/online-education/temple-university-OBUS0610/business" TargetMode="External"/><Relationship Id="rId110" Type="http://schemas.openxmlformats.org/officeDocument/2006/relationships/hyperlink" Target="https://www.business.rutgers.edu/full-time-mba/student-services" TargetMode="External"/><Relationship Id="rId115" Type="http://schemas.openxmlformats.org/officeDocument/2006/relationships/hyperlink" Target="http://stonybrook.edu/commcms/career-center/students/graduate_career_coaching.php" TargetMode="External"/><Relationship Id="rId131" Type="http://schemas.openxmlformats.org/officeDocument/2006/relationships/hyperlink" Target="https://www.best-masters.com/master-human-resources-management-ranking/north-america.html" TargetMode="External"/><Relationship Id="rId136" Type="http://schemas.openxmlformats.org/officeDocument/2006/relationships/hyperlink" Target="https://www.best-masters.com/master-human-resources-management-ranking/north-america.html" TargetMode="External"/><Relationship Id="rId157" Type="http://schemas.openxmlformats.org/officeDocument/2006/relationships/hyperlink" Target="https://www.usnews.com/education/online-education/university-of-southern-california-OBUS0767/business" TargetMode="External"/><Relationship Id="rId178" Type="http://schemas.openxmlformats.org/officeDocument/2006/relationships/hyperlink" Target="https://careernetwork.msu.edu/channels/identity-affinity-groups/" TargetMode="External"/><Relationship Id="rId61" Type="http://schemas.openxmlformats.org/officeDocument/2006/relationships/hyperlink" Target="https://www.usnews.com/education/online-education/pepperdine-university-OBUS0468/mba" TargetMode="External"/><Relationship Id="rId82" Type="http://schemas.openxmlformats.org/officeDocument/2006/relationships/hyperlink" Target="https://www.usnews.com/education/online-education/temple-university-OBUS0610/business" TargetMode="External"/><Relationship Id="rId152" Type="http://schemas.openxmlformats.org/officeDocument/2006/relationships/hyperlink" Target="https://www.worldcampus.psu.edu/degrees-and-certificates/penn-state-online-human-resources-and-employment-relations-masters-degree" TargetMode="External"/><Relationship Id="rId173" Type="http://schemas.openxmlformats.org/officeDocument/2006/relationships/hyperlink" Target="https://hrlr.msu.edu/degrees/mhrlr/index.html" TargetMode="External"/><Relationship Id="rId194" Type="http://schemas.microsoft.com/office/2017/10/relationships/threadedComment" Target="../threadedComments/threadedComment2.xml"/><Relationship Id="rId19" Type="http://schemas.openxmlformats.org/officeDocument/2006/relationships/hyperlink" Target="https://www.usnews.com/education/online-education/university-of-southern-california-OBUS0767/business" TargetMode="External"/><Relationship Id="rId14" Type="http://schemas.openxmlformats.org/officeDocument/2006/relationships/hyperlink" Target="https://clubs.marshall.usc.edu/affinity/about/" TargetMode="External"/><Relationship Id="rId30" Type="http://schemas.openxmlformats.org/officeDocument/2006/relationships/hyperlink" Target="https://www.usnews.com/education/online-education/george-washington-university-OBUS0231/business" TargetMode="External"/><Relationship Id="rId35" Type="http://schemas.openxmlformats.org/officeDocument/2006/relationships/hyperlink" Target="https://www.usnews.com/education/online-education/george-washington-university-OBUS0231/business" TargetMode="External"/><Relationship Id="rId56" Type="http://schemas.openxmlformats.org/officeDocument/2006/relationships/hyperlink" Target="https://business.fiu.edu/alumni/groups/" TargetMode="External"/><Relationship Id="rId77" Type="http://schemas.openxmlformats.org/officeDocument/2006/relationships/hyperlink" Target="https://www.usnews.com/education/online-education/stony-brook-university-suny-OBUS0595/business" TargetMode="External"/><Relationship Id="rId100" Type="http://schemas.openxmlformats.org/officeDocument/2006/relationships/hyperlink" Target="https://ler.illinois.edu/our-programs/online-human-resources-masters/degree-requirements/" TargetMode="External"/><Relationship Id="rId105" Type="http://schemas.openxmlformats.org/officeDocument/2006/relationships/hyperlink" Target="https://www.usnews.com/education/online-education/pennsylvania-state-university-world-campus-OBUS0467/business?edu-2401-control=true" TargetMode="External"/><Relationship Id="rId126" Type="http://schemas.openxmlformats.org/officeDocument/2006/relationships/hyperlink" Target="https://premium.usnews.com/best-graduate-schools/top-business-schools/purdue-university-main-campus-01083" TargetMode="External"/><Relationship Id="rId147" Type="http://schemas.openxmlformats.org/officeDocument/2006/relationships/hyperlink" Target="https://www.fox.temple.edu/academics/experiential-learning" TargetMode="External"/><Relationship Id="rId168" Type="http://schemas.openxmlformats.org/officeDocument/2006/relationships/hyperlink" Target="https://tuition.tamu.edu/graduate" TargetMode="External"/><Relationship Id="rId8" Type="http://schemas.openxmlformats.org/officeDocument/2006/relationships/hyperlink" Target="https://www.temple.edu/academics/degree-programs/human-resource-management-ms-bu-hrm-ms" TargetMode="External"/><Relationship Id="rId51" Type="http://schemas.openxmlformats.org/officeDocument/2006/relationships/hyperlink" Target="https://www.usnews.com/education/online-education/florida-international-university-OBUS0211/business" TargetMode="External"/><Relationship Id="rId72" Type="http://schemas.openxmlformats.org/officeDocument/2006/relationships/hyperlink" Target="https://www.usnews.com/education/online-education/stony-brook-university-suny-OBUS0595/business" TargetMode="External"/><Relationship Id="rId93" Type="http://schemas.openxmlformats.org/officeDocument/2006/relationships/hyperlink" Target="https://www.usnews.com/education/online-education/temple-university-OBUS0610/business" TargetMode="External"/><Relationship Id="rId98" Type="http://schemas.openxmlformats.org/officeDocument/2006/relationships/hyperlink" Target="https://www.usnews.com/education/online-education/university-of-illinois-at-urbana-champaign-OEDU0794/education?edu-2401-control=true" TargetMode="External"/><Relationship Id="rId121" Type="http://schemas.openxmlformats.org/officeDocument/2006/relationships/hyperlink" Target="https://www.pepperdine.edu/alumni/regional-networks/" TargetMode="External"/><Relationship Id="rId142" Type="http://schemas.openxmlformats.org/officeDocument/2006/relationships/hyperlink" Target="https://giesbusiness.illinois.edu/about/access-and-community" TargetMode="External"/><Relationship Id="rId163" Type="http://schemas.openxmlformats.org/officeDocument/2006/relationships/hyperlink" Target="https://www.usnews.com/education/online-education/university-of-southern-california-OBUS0767/business" TargetMode="External"/><Relationship Id="rId184" Type="http://schemas.openxmlformats.org/officeDocument/2006/relationships/hyperlink" Target="https://controller.msu.edu/student-accounts/tuition-calculator/tuition-calculator-fall-and-spring" TargetMode="External"/><Relationship Id="rId189" Type="http://schemas.openxmlformats.org/officeDocument/2006/relationships/hyperlink" Target="https://business.fiu.edu/academics/graduate/human-resource-management-online/tuition/index.html" TargetMode="External"/><Relationship Id="rId3" Type="http://schemas.openxmlformats.org/officeDocument/2006/relationships/hyperlink" Target="https://business.gwu.edu/ms-human-resource-management" TargetMode="External"/><Relationship Id="rId25" Type="http://schemas.openxmlformats.org/officeDocument/2006/relationships/hyperlink" Target="https://www.usnews.com/education/online-education/george-washington-university-OBUS0231/business" TargetMode="External"/><Relationship Id="rId46" Type="http://schemas.openxmlformats.org/officeDocument/2006/relationships/hyperlink" Target="https://www.usnews.com/education/online-education/florida-international-university-OBUS0211/business" TargetMode="External"/><Relationship Id="rId67" Type="http://schemas.openxmlformats.org/officeDocument/2006/relationships/hyperlink" Target="https://www.usnews.com/education/online-education/pepperdine-university-OBUS0468/mba" TargetMode="External"/><Relationship Id="rId116" Type="http://schemas.openxmlformats.org/officeDocument/2006/relationships/hyperlink" Target="https://careercenter.temple.edu/students/explore/career-coaching" TargetMode="External"/><Relationship Id="rId137" Type="http://schemas.openxmlformats.org/officeDocument/2006/relationships/hyperlink" Target="https://www.purdueglobal.edu/degree-programs/business/online-master-management-degree/" TargetMode="External"/><Relationship Id="rId158" Type="http://schemas.openxmlformats.org/officeDocument/2006/relationships/hyperlink" Target="https://business.fiu.edu/alumni/groups/" TargetMode="External"/><Relationship Id="rId20" Type="http://schemas.openxmlformats.org/officeDocument/2006/relationships/hyperlink" Target="https://business.gwu.edu/about/alumni/groups-networks/school-affinity-groups" TargetMode="External"/><Relationship Id="rId41" Type="http://schemas.openxmlformats.org/officeDocument/2006/relationships/hyperlink" Target="https://www.usnews.com/education/online-education/university-of-southern-california-OBUS0767/business" TargetMode="External"/><Relationship Id="rId62" Type="http://schemas.openxmlformats.org/officeDocument/2006/relationships/hyperlink" Target="https://www.usnews.com/education/online-education/pepperdine-university-OBUS0468/mba" TargetMode="External"/><Relationship Id="rId83" Type="http://schemas.openxmlformats.org/officeDocument/2006/relationships/hyperlink" Target="https://www.usnews.com/education/online-education/temple-university-OBUS0610/business" TargetMode="External"/><Relationship Id="rId88" Type="http://schemas.openxmlformats.org/officeDocument/2006/relationships/hyperlink" Target="https://www.usnews.com/education/online-education/temple-university-OBUS0610/business" TargetMode="External"/><Relationship Id="rId111" Type="http://schemas.openxmlformats.org/officeDocument/2006/relationships/hyperlink" Target="https://www.marshall.usc.edu/trojan-network/career-services" TargetMode="External"/><Relationship Id="rId132" Type="http://schemas.openxmlformats.org/officeDocument/2006/relationships/hyperlink" Target="https://www.usnews.com/education/online-education/business/rankings?edu-2401-control=true" TargetMode="External"/><Relationship Id="rId153" Type="http://schemas.openxmlformats.org/officeDocument/2006/relationships/hyperlink" Target="https://www.worldcampus.psu.edu/degrees-and-certificates/penn-state-online-human-resources-and-employment-relations-masters-degree" TargetMode="External"/><Relationship Id="rId174" Type="http://schemas.openxmlformats.org/officeDocument/2006/relationships/hyperlink" Target="https://hrlr.msu.edu/degrees/mhrlr/index.html" TargetMode="External"/><Relationship Id="rId179" Type="http://schemas.openxmlformats.org/officeDocument/2006/relationships/hyperlink" Target="https://www.purdueglobal.edu/tuition-financial-aid/undergraduate-graduate-tuition-and-fees/" TargetMode="External"/><Relationship Id="rId190" Type="http://schemas.openxmlformats.org/officeDocument/2006/relationships/hyperlink" Target="https://bschool.pepperdine.edu/admission/tuition/" TargetMode="External"/><Relationship Id="rId15" Type="http://schemas.openxmlformats.org/officeDocument/2006/relationships/hyperlink" Target="https://www.usnews.com/education/online-education/business/rankings" TargetMode="External"/><Relationship Id="rId36" Type="http://schemas.openxmlformats.org/officeDocument/2006/relationships/hyperlink" Target="https://info.business.gwu.edu/downloads/gw-business-online-masters-programs.pdf" TargetMode="External"/><Relationship Id="rId57" Type="http://schemas.openxmlformats.org/officeDocument/2006/relationships/hyperlink" Target="https://business.fiu.edu/alumni/groups/" TargetMode="External"/><Relationship Id="rId106" Type="http://schemas.openxmlformats.org/officeDocument/2006/relationships/hyperlink" Target="https://careerconnections.smeal.psu.edu/channels/graduate-programs/" TargetMode="External"/><Relationship Id="rId127" Type="http://schemas.openxmlformats.org/officeDocument/2006/relationships/hyperlink" Target="https://premium.usnews.com/best-graduate-schools/top-business-schools/purdue-university-main-campus-01083" TargetMode="External"/><Relationship Id="rId10" Type="http://schemas.openxmlformats.org/officeDocument/2006/relationships/hyperlink" Target="https://www.usnews.com/education/online-education/university-of-connecticut-129020/rankings" TargetMode="External"/><Relationship Id="rId31" Type="http://schemas.openxmlformats.org/officeDocument/2006/relationships/hyperlink" Target="https://www.usnews.com/education/online-education/george-washington-university-OBUS0231/business" TargetMode="External"/><Relationship Id="rId52" Type="http://schemas.openxmlformats.org/officeDocument/2006/relationships/hyperlink" Target="https://www.usnews.com/education/online-education/florida-international-university-OBUS0211/business" TargetMode="External"/><Relationship Id="rId73" Type="http://schemas.openxmlformats.org/officeDocument/2006/relationships/hyperlink" Target="https://www.usnews.com/education/online-education/stony-brook-university-suny-OBUS0595/business" TargetMode="External"/><Relationship Id="rId78" Type="http://schemas.openxmlformats.org/officeDocument/2006/relationships/hyperlink" Target="https://www.usnews.com/education/online-education/stony-brook-university-suny-OBUS0595/business" TargetMode="External"/><Relationship Id="rId94" Type="http://schemas.openxmlformats.org/officeDocument/2006/relationships/hyperlink" Target="https://advanced.jhu.edu/student-resources/career-services/" TargetMode="External"/><Relationship Id="rId99" Type="http://schemas.openxmlformats.org/officeDocument/2006/relationships/hyperlink" Target="https://www.usnews.com/education/online-education/university-of-illinois-at-urbana-champaign-OEDU0794/education?edu-2401-control=true" TargetMode="External"/><Relationship Id="rId101" Type="http://schemas.openxmlformats.org/officeDocument/2006/relationships/hyperlink" Target="https://ler.illinois.edu/our-programs/online-human-resources-masters/online-masters-faq/" TargetMode="External"/><Relationship Id="rId122" Type="http://schemas.openxmlformats.org/officeDocument/2006/relationships/hyperlink" Target="https://premium.usnews.com/best-graduate-schools/top-business-schools/purdue-university-main-campus-01083" TargetMode="External"/><Relationship Id="rId143" Type="http://schemas.openxmlformats.org/officeDocument/2006/relationships/hyperlink" Target="https://mays.tamu.edu/graduate/masters/ms-programs/human-resource-management/program-details/" TargetMode="External"/><Relationship Id="rId148" Type="http://schemas.openxmlformats.org/officeDocument/2006/relationships/hyperlink" Target="https://diversity.temple.edu/faculty-staff/affinity-groups" TargetMode="External"/><Relationship Id="rId164" Type="http://schemas.openxmlformats.org/officeDocument/2006/relationships/hyperlink" Target="https://business.fiu.edu/alumni/groups/" TargetMode="External"/><Relationship Id="rId169" Type="http://schemas.openxmlformats.org/officeDocument/2006/relationships/hyperlink" Target="https://tuition.tamu.edu/graduate" TargetMode="External"/><Relationship Id="rId185" Type="http://schemas.openxmlformats.org/officeDocument/2006/relationships/hyperlink" Target="https://hrm.business.uconn.edu/programs/hrm-online-ms-degree/" TargetMode="External"/><Relationship Id="rId4" Type="http://schemas.openxmlformats.org/officeDocument/2006/relationships/hyperlink" Target="https://business.fiu.edu/academics/graduate/human-resource-management-online/index.html" TargetMode="External"/><Relationship Id="rId9" Type="http://schemas.openxmlformats.org/officeDocument/2006/relationships/hyperlink" Target="https://business.purdue.edu/online/programs/ms-human-resource-management/" TargetMode="External"/><Relationship Id="rId180" Type="http://schemas.openxmlformats.org/officeDocument/2006/relationships/hyperlink" Target="https://www.worldcampus.psu.edu/degrees-and-certificates/penn-state-online-human-resources-and-employment-relations-masters-degree" TargetMode="External"/><Relationship Id="rId26" Type="http://schemas.openxmlformats.org/officeDocument/2006/relationships/hyperlink" Target="https://www.usnews.com/education/online-education/george-washington-university-OBUS0231/business" TargetMode="External"/><Relationship Id="rId47" Type="http://schemas.openxmlformats.org/officeDocument/2006/relationships/hyperlink" Target="https://www.usnews.com/education/online-education/florida-international-university-OBUS0211/business" TargetMode="External"/><Relationship Id="rId68" Type="http://schemas.openxmlformats.org/officeDocument/2006/relationships/hyperlink" Target="https://www.usnews.com/education/online-education/stony-brook-university-suny-OBUS0595/business" TargetMode="External"/><Relationship Id="rId89" Type="http://schemas.openxmlformats.org/officeDocument/2006/relationships/hyperlink" Target="https://www.usnews.com/education/online-education/temple-university-OBUS0610/business" TargetMode="External"/><Relationship Id="rId112" Type="http://schemas.openxmlformats.org/officeDocument/2006/relationships/hyperlink" Target="https://business.gwu.edu/career-center/graduate" TargetMode="External"/><Relationship Id="rId133" Type="http://schemas.openxmlformats.org/officeDocument/2006/relationships/hyperlink" Target="https://www.usnews.com/education/online-education/business/rankings?edu-2401-control=true" TargetMode="External"/><Relationship Id="rId154" Type="http://schemas.openxmlformats.org/officeDocument/2006/relationships/hyperlink" Target="https://www.usnews.com/education/online-education/university-of-illinois-at-urbana-champaign-OEDU0794/education?edu-2401-control=true" TargetMode="External"/><Relationship Id="rId175" Type="http://schemas.openxmlformats.org/officeDocument/2006/relationships/hyperlink" Target="https://hrlr.msu.edu/degrees/mhrlr/index.html" TargetMode="External"/><Relationship Id="rId16" Type="http://schemas.openxmlformats.org/officeDocument/2006/relationships/hyperlink" Target="https://www.usnews.com/education/online-education/university-of-southern-california-OBUS0767/business" TargetMode="External"/><Relationship Id="rId37" Type="http://schemas.openxmlformats.org/officeDocument/2006/relationships/hyperlink" Target="https://www.usnews.com/education/online-education/george-washington-university-OBUS0231/business" TargetMode="External"/><Relationship Id="rId58" Type="http://schemas.openxmlformats.org/officeDocument/2006/relationships/hyperlink" Target="https://business.fiu.edu/alumni/groups/" TargetMode="External"/><Relationship Id="rId79" Type="http://schemas.openxmlformats.org/officeDocument/2006/relationships/hyperlink" Target="https://www.usnews.com/education/online-education/stony-brook-university-suny-OBUS0595/business" TargetMode="External"/><Relationship Id="rId102" Type="http://schemas.openxmlformats.org/officeDocument/2006/relationships/hyperlink" Target="https://mays.tamu.edu/graduate/flex-online/human-resource-management/program-details/" TargetMode="External"/><Relationship Id="rId123" Type="http://schemas.openxmlformats.org/officeDocument/2006/relationships/hyperlink" Target="https://business.purdue.edu/experiential-learning/" TargetMode="External"/><Relationship Id="rId144" Type="http://schemas.openxmlformats.org/officeDocument/2006/relationships/hyperlink" Target="https://getinvolved.tamu.edu/org/bold" TargetMode="External"/><Relationship Id="rId90" Type="http://schemas.openxmlformats.org/officeDocument/2006/relationships/hyperlink" Target="https://www.usnews.com/education/online-education/temple-university-OBUS0610/business" TargetMode="External"/><Relationship Id="rId165" Type="http://schemas.openxmlformats.org/officeDocument/2006/relationships/hyperlink" Target="https://www.usnews.com/education/online-education/pepperdine-university-OBUS0468/mba" TargetMode="External"/><Relationship Id="rId186" Type="http://schemas.openxmlformats.org/officeDocument/2006/relationships/hyperlink" Target="https://smlr.rutgers.edu/academic-programs/graduate-programs/online-professional-masters-human-resource-management/online-0" TargetMode="External"/><Relationship Id="rId27" Type="http://schemas.openxmlformats.org/officeDocument/2006/relationships/hyperlink" Target="https://www.usnews.com/education/online-education/george-washington-university-OBUS0231/business" TargetMode="External"/><Relationship Id="rId48" Type="http://schemas.openxmlformats.org/officeDocument/2006/relationships/hyperlink" Target="https://www.usnews.com/education/online-education/florida-international-university-OBUS0211/business" TargetMode="External"/><Relationship Id="rId69" Type="http://schemas.openxmlformats.org/officeDocument/2006/relationships/hyperlink" Target="https://www.usnews.com/education/online-education/stony-brook-university-suny-OBUS0595/business" TargetMode="External"/><Relationship Id="rId113" Type="http://schemas.openxmlformats.org/officeDocument/2006/relationships/hyperlink" Target="http://career.fiu.edu/resources/schedule-an-appointment/" TargetMode="External"/><Relationship Id="rId134" Type="http://schemas.openxmlformats.org/officeDocument/2006/relationships/hyperlink" Target="https://www.usnews.com/education/online-education/business/rankings?edu-2401-control=true" TargetMode="External"/><Relationship Id="rId80" Type="http://schemas.openxmlformats.org/officeDocument/2006/relationships/hyperlink" Target="https://www.usnews.com/education/online-education/stony-brook-university-suny-OBUS0595/business" TargetMode="External"/><Relationship Id="rId155" Type="http://schemas.openxmlformats.org/officeDocument/2006/relationships/hyperlink" Target="https://www.usnews.com/education/online-education/university-of-illinois-at-urbana-champaign-OEDU0794/education?edu-2401-control=true" TargetMode="External"/><Relationship Id="rId176" Type="http://schemas.openxmlformats.org/officeDocument/2006/relationships/hyperlink" Target="https://socialscience.msu.edu/undergraduate/current-students/careers/index.html" TargetMode="External"/><Relationship Id="rId17" Type="http://schemas.openxmlformats.org/officeDocument/2006/relationships/hyperlink" Target="https://www.usnews.com/education/online-education/university-of-southern-california-OBUS0767/business" TargetMode="External"/><Relationship Id="rId38" Type="http://schemas.openxmlformats.org/officeDocument/2006/relationships/hyperlink" Target="https://www.usnews.com/education/online-education/university-of-southern-california-OBUS0767/business" TargetMode="External"/><Relationship Id="rId59" Type="http://schemas.openxmlformats.org/officeDocument/2006/relationships/hyperlink" Target="https://bschool.pepperdine.edu/online-masters-human-resources/" TargetMode="External"/><Relationship Id="rId103" Type="http://schemas.openxmlformats.org/officeDocument/2006/relationships/hyperlink" Target="https://www.worldcampus.psu.edu/degrees-and-certificates/penn-state-online-human-resources-and-employment-relations-masters-degree" TargetMode="External"/><Relationship Id="rId124" Type="http://schemas.openxmlformats.org/officeDocument/2006/relationships/hyperlink" Target="https://www.purdueforlife.org/affinity-networks/" TargetMode="External"/><Relationship Id="rId70" Type="http://schemas.openxmlformats.org/officeDocument/2006/relationships/hyperlink" Target="https://www.usnews.com/education/online-education/stony-brook-university-suny-OBUS0595/business" TargetMode="External"/><Relationship Id="rId91" Type="http://schemas.openxmlformats.org/officeDocument/2006/relationships/hyperlink" Target="https://www.usnews.com/education/online-education/temple-university-OBUS0610/business" TargetMode="External"/><Relationship Id="rId145" Type="http://schemas.openxmlformats.org/officeDocument/2006/relationships/hyperlink" Target="https://www.business.uconn.edu/experiential-learning/" TargetMode="External"/><Relationship Id="rId166" Type="http://schemas.openxmlformats.org/officeDocument/2006/relationships/hyperlink" Target="https://www.usnews.com/education/online-education/stony-brook-university-suny-OBUS0595/business" TargetMode="External"/><Relationship Id="rId187" Type="http://schemas.openxmlformats.org/officeDocument/2006/relationships/hyperlink" Target="https://bovardcollege.usc.edu/hr/admissions/tuition-financial-aid/" TargetMode="External"/><Relationship Id="rId1" Type="http://schemas.openxmlformats.org/officeDocument/2006/relationships/hyperlink" Target="https://bovardcollege.usc.edu/hr/admissions/tuition-financial-aid/" TargetMode="External"/><Relationship Id="rId28" Type="http://schemas.openxmlformats.org/officeDocument/2006/relationships/hyperlink" Target="https://www.usnews.com/education/online-education/george-washington-university-OBUS0231/business" TargetMode="External"/><Relationship Id="rId49" Type="http://schemas.openxmlformats.org/officeDocument/2006/relationships/hyperlink" Target="https://www.usnews.com/education/online-education/florida-international-university-OBUS0211/business" TargetMode="External"/><Relationship Id="rId114" Type="http://schemas.openxmlformats.org/officeDocument/2006/relationships/hyperlink" Target="https://career.bschool.pepperdine.edu/career-coaches/" TargetMode="External"/><Relationship Id="rId60" Type="http://schemas.openxmlformats.org/officeDocument/2006/relationships/hyperlink" Target="https://www.usnews.com/education/online-education/pepperdine-university-OBUS0468/mba" TargetMode="External"/><Relationship Id="rId81" Type="http://schemas.openxmlformats.org/officeDocument/2006/relationships/hyperlink" Target="https://www.usnews.com/education/online-education/temple-university-OBUS0610/business" TargetMode="External"/><Relationship Id="rId135" Type="http://schemas.openxmlformats.org/officeDocument/2006/relationships/hyperlink" Target="https://www.usnews.com/education/online-education/business/rankings?edu-2401-control=true" TargetMode="External"/><Relationship Id="rId156" Type="http://schemas.openxmlformats.org/officeDocument/2006/relationships/hyperlink" Target="https://info.business.gwu.edu/downloads/gw-business-online-masters-programs.pdf" TargetMode="External"/><Relationship Id="rId177" Type="http://schemas.openxmlformats.org/officeDocument/2006/relationships/hyperlink" Target="https://socialscience.msu.edu/undergraduate/experiential-learning/index.html" TargetMode="External"/><Relationship Id="rId18" Type="http://schemas.openxmlformats.org/officeDocument/2006/relationships/hyperlink" Target="https://www.usnews.com/education/online-education/university-of-southern-california-OBUS0767/business" TargetMode="External"/><Relationship Id="rId39" Type="http://schemas.openxmlformats.org/officeDocument/2006/relationships/hyperlink" Target="https://www.usnews.com/education/online-education/university-of-southern-california-OBUS0767/business"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ww.usnews.com/education/online-education/indiana-university-bloomington-OBUS0276/mba" TargetMode="External"/><Relationship Id="rId21" Type="http://schemas.openxmlformats.org/officeDocument/2006/relationships/hyperlink" Target="https://www.usnews.com/education/online-education/university-of-southern-california-OBUS0767/mba" TargetMode="External"/><Relationship Id="rId42" Type="http://schemas.openxmlformats.org/officeDocument/2006/relationships/hyperlink" Target="https://business.purdue.edu/news/features/2025/three-year-degrees.php" TargetMode="External"/><Relationship Id="rId47" Type="http://schemas.openxmlformats.org/officeDocument/2006/relationships/hyperlink" Target="https://www.cmu.edu/tepper/programs/mba/admissions/mba-class-profiles/mba-online-hybrid.html" TargetMode="External"/><Relationship Id="rId63" Type="http://schemas.openxmlformats.org/officeDocument/2006/relationships/hyperlink" Target="https://careercenter.wustl.edu/" TargetMode="External"/><Relationship Id="rId68" Type="http://schemas.openxmlformats.org/officeDocument/2006/relationships/hyperlink" Target="https://mba.utdallas.edu/mba-student-life/" TargetMode="External"/><Relationship Id="rId84" Type="http://schemas.openxmlformats.org/officeDocument/2006/relationships/hyperlink" Target="https://www.rit.edu/emba/admissions-and-aid" TargetMode="External"/><Relationship Id="rId89" Type="http://schemas.openxmlformats.org/officeDocument/2006/relationships/hyperlink" Target="https://online.usi.edu/degrees/business/mba/general/" TargetMode="External"/><Relationship Id="rId16" Type="http://schemas.openxmlformats.org/officeDocument/2006/relationships/hyperlink" Target="https://www.bsu.edu/academics/collegesanddepartments/mba/masters-degree" TargetMode="External"/><Relationship Id="rId11" Type="http://schemas.openxmlformats.org/officeDocument/2006/relationships/hyperlink" Target="https://giesonline.illinois.edu/explore-programs/online-mba" TargetMode="External"/><Relationship Id="rId32" Type="http://schemas.openxmlformats.org/officeDocument/2006/relationships/hyperlink" Target="https://www.usnews.com/education/online-education/the-university-of-texas-at-dallas-OBUS0780/mba" TargetMode="External"/><Relationship Id="rId37" Type="http://schemas.openxmlformats.org/officeDocument/2006/relationships/hyperlink" Target="https://www.usnews.com/education/online-education/university-of-iowa-OBUS0695/mba?edu-2401-variation=true" TargetMode="External"/><Relationship Id="rId53" Type="http://schemas.openxmlformats.org/officeDocument/2006/relationships/hyperlink" Target="https://www.purdue.edu/collaborationexpress/students/career-exploration.php" TargetMode="External"/><Relationship Id="rId58" Type="http://schemas.openxmlformats.org/officeDocument/2006/relationships/hyperlink" Target="https://career.eoss.asu.edu/&#160;&#160;/&#160;https:/wpcarey.asu.edu/undergraduate/career" TargetMode="External"/><Relationship Id="rId74" Type="http://schemas.openxmlformats.org/officeDocument/2006/relationships/hyperlink" Target="https://www.usnews.com/education/online-education/mba/rankings?edu-2401-control=true" TargetMode="External"/><Relationship Id="rId79" Type="http://schemas.openxmlformats.org/officeDocument/2006/relationships/hyperlink" Target="https://www.marshall.usc.edu/programs/graduate-programs/mba-programs/online-mba/tuition" TargetMode="External"/><Relationship Id="rId5" Type="http://schemas.openxmlformats.org/officeDocument/2006/relationships/hyperlink" Target="https://wpcarey.asu.edu/mba-programs/online" TargetMode="External"/><Relationship Id="rId90" Type="http://schemas.openxmlformats.org/officeDocument/2006/relationships/hyperlink" Target="https://www.trine.edu/online/tuition-aid/cost-investment.aspx" TargetMode="External"/><Relationship Id="rId95" Type="http://schemas.openxmlformats.org/officeDocument/2006/relationships/vmlDrawing" Target="../drawings/vmlDrawing3.vml"/><Relationship Id="rId22" Type="http://schemas.openxmlformats.org/officeDocument/2006/relationships/hyperlink" Target="https://www.cmu.edu/tepper/programs/mba/admissions/mba-class-profiles/mba-online-hybrid.html" TargetMode="External"/><Relationship Id="rId27" Type="http://schemas.openxmlformats.org/officeDocument/2006/relationships/hyperlink" Target="https://www.usnews.com/education/online-education/university-of-north-carolina-at-chapel-hill-OBUS0736/mba" TargetMode="External"/><Relationship Id="rId43" Type="http://schemas.openxmlformats.org/officeDocument/2006/relationships/hyperlink" Target="https://business.purdue.edu/master-of-business/online-masters-in-business-administration/tuition.php" TargetMode="External"/><Relationship Id="rId48" Type="http://schemas.openxmlformats.org/officeDocument/2006/relationships/hyperlink" Target="https://www.cmu.edu/tepper/programs/mba/admissions/mba-class-profiles/mba-online-hybrid.html" TargetMode="External"/><Relationship Id="rId64" Type="http://schemas.openxmlformats.org/officeDocument/2006/relationships/hyperlink" Target="https://www.purdueglobal.edu/academic-support/career-services/" TargetMode="External"/><Relationship Id="rId69" Type="http://schemas.openxmlformats.org/officeDocument/2006/relationships/hyperlink" Target="https://tippie.uiowa.edu/" TargetMode="External"/><Relationship Id="rId80" Type="http://schemas.openxmlformats.org/officeDocument/2006/relationships/hyperlink" Target="https://www.cmu.edu/tepper/programs/mba/online-hybrid" TargetMode="External"/><Relationship Id="rId85" Type="http://schemas.openxmlformats.org/officeDocument/2006/relationships/hyperlink" Target="https://mba.utdallas.edu/tuition-aid/" TargetMode="External"/><Relationship Id="rId3" Type="http://schemas.openxmlformats.org/officeDocument/2006/relationships/hyperlink" Target="https://www.cmu.edu/tepper/programs/mba/program-options/online-hybrid/index.html" TargetMode="External"/><Relationship Id="rId12" Type="http://schemas.openxmlformats.org/officeDocument/2006/relationships/hyperlink" Target="https://www.wisconsinonlinemba.org/" TargetMode="External"/><Relationship Id="rId17" Type="http://schemas.openxmlformats.org/officeDocument/2006/relationships/hyperlink" Target="https://olin.wustl.edu/programs/mbas/flex-mba/index.php" TargetMode="External"/><Relationship Id="rId25" Type="http://schemas.openxmlformats.org/officeDocument/2006/relationships/hyperlink" Target="https://www.topmba.com/online-mba-rankings-global?items_per_page=150&amp;countries=us&amp;sort_by=rank&amp;order_by=asc" TargetMode="External"/><Relationship Id="rId33" Type="http://schemas.openxmlformats.org/officeDocument/2006/relationships/hyperlink" Target="https://www.usnews.com/education/online-education/university-of-wisconsin-eau-claire-OBUS0796/mba?edu-2401-variation=true" TargetMode="External"/><Relationship Id="rId38" Type="http://schemas.openxmlformats.org/officeDocument/2006/relationships/hyperlink" Target="https://giesonline.illinois.edu/explore-programs/online-mba" TargetMode="External"/><Relationship Id="rId46" Type="http://schemas.openxmlformats.org/officeDocument/2006/relationships/hyperlink" Target="https://www.cmu.edu/tepper/programs/mba/admissions/mba-class-profiles/mba-online-hybrid.html" TargetMode="External"/><Relationship Id="rId59" Type="http://schemas.openxmlformats.org/officeDocument/2006/relationships/hyperlink" Target="https://www.uagc.edu/student-experience/career-services&#160;&#160;/&#160;https:/eller.arizona.edu/programs/undergraduate/professional-development/career-coaching" TargetMode="External"/><Relationship Id="rId67" Type="http://schemas.openxmlformats.org/officeDocument/2006/relationships/hyperlink" Target="https://www.purdueforlife.org/affinity-networks/" TargetMode="External"/><Relationship Id="rId20" Type="http://schemas.openxmlformats.org/officeDocument/2006/relationships/hyperlink" Target="https://www.usnews.com/education/online-education/indiana-university-bloomington-OBUS0276/mba?edu-2401-variation=true" TargetMode="External"/><Relationship Id="rId41" Type="http://schemas.openxmlformats.org/officeDocument/2006/relationships/hyperlink" Target="https://kelley.iu.edu/programs/online/" TargetMode="External"/><Relationship Id="rId54" Type="http://schemas.openxmlformats.org/officeDocument/2006/relationships/hyperlink" Target="https://careers.unc.edu/&#160;&#160;/&#160;https:/careers.unc.edu/students/schedule-an-appointment/" TargetMode="External"/><Relationship Id="rId62" Type="http://schemas.openxmlformats.org/officeDocument/2006/relationships/hyperlink" Target="https://careercenter.illinois.edu/" TargetMode="External"/><Relationship Id="rId70" Type="http://schemas.openxmlformats.org/officeDocument/2006/relationships/hyperlink" Target="https://www.usnews.com/education/online-education/mba/rankings?edu-2401-control=true" TargetMode="External"/><Relationship Id="rId75" Type="http://schemas.openxmlformats.org/officeDocument/2006/relationships/hyperlink" Target="https://www.usnews.com/education/online-education/mba/rankings?edu-2401-control=true" TargetMode="External"/><Relationship Id="rId83" Type="http://schemas.openxmlformats.org/officeDocument/2006/relationships/hyperlink" Target="https://eller.arizona.edu/programs/mba/online" TargetMode="External"/><Relationship Id="rId88" Type="http://schemas.openxmlformats.org/officeDocument/2006/relationships/hyperlink" Target="https://www.butler.edu/lacy-business/mba/" TargetMode="External"/><Relationship Id="rId91" Type="http://schemas.openxmlformats.org/officeDocument/2006/relationships/hyperlink" Target="https://www.bsu.edu/admissions/tuition-and-fees" TargetMode="External"/><Relationship Id="rId96" Type="http://schemas.openxmlformats.org/officeDocument/2006/relationships/comments" Target="../comments3.xml"/><Relationship Id="rId1" Type="http://schemas.openxmlformats.org/officeDocument/2006/relationships/hyperlink" Target="https://kelley.iu.edu/programs/online/index.html" TargetMode="External"/><Relationship Id="rId6" Type="http://schemas.openxmlformats.org/officeDocument/2006/relationships/hyperlink" Target="https://eller.arizona.edu/programs/mba/online" TargetMode="External"/><Relationship Id="rId15" Type="http://schemas.openxmlformats.org/officeDocument/2006/relationships/hyperlink" Target="https://www.trine.edu/online/degrees/business-administration/online-mba-master-business-administration.aspx" TargetMode="External"/><Relationship Id="rId23" Type="http://schemas.openxmlformats.org/officeDocument/2006/relationships/hyperlink" Target="https://www.usnews.com/education/online-education/university-of-washington-seattle-campus-OBUS0793/mba?edu-2401-variation=true" TargetMode="External"/><Relationship Id="rId28" Type="http://schemas.openxmlformats.org/officeDocument/2006/relationships/hyperlink" Target="https://www.usnews.com/education/online-education/carnegie-mellon-university-OBUS0100/mba" TargetMode="External"/><Relationship Id="rId36" Type="http://schemas.openxmlformats.org/officeDocument/2006/relationships/hyperlink" Target="https://www.usnews.com/education/online-education/ball-state-university-OBUS0036/mba?edu-2401-variation=true" TargetMode="External"/><Relationship Id="rId49" Type="http://schemas.openxmlformats.org/officeDocument/2006/relationships/hyperlink" Target="https://www.cmu.edu/tepper/programs/mba/admissions/mba-class-profiles/mba-online-hybrid.html" TargetMode="External"/><Relationship Id="rId57" Type="http://schemas.openxmlformats.org/officeDocument/2006/relationships/hyperlink" Target="https://careers.uw.edu/schedule-an-appointment-with-a-career-coach/" TargetMode="External"/><Relationship Id="rId10" Type="http://schemas.openxmlformats.org/officeDocument/2006/relationships/hyperlink" Target="https://tippie.uiowa.edu/iowa-mba" TargetMode="External"/><Relationship Id="rId31" Type="http://schemas.openxmlformats.org/officeDocument/2006/relationships/hyperlink" Target="https://www.usnews.com/education/online-education/arizona-state-university-OBUS0021/mba" TargetMode="External"/><Relationship Id="rId44" Type="http://schemas.openxmlformats.org/officeDocument/2006/relationships/hyperlink" Target="https://www.cmu.edu/tepper/programs/mba/admissions/mba-class-profiles/mba-online-hybrid.html" TargetMode="External"/><Relationship Id="rId52" Type="http://schemas.openxmlformats.org/officeDocument/2006/relationships/hyperlink" Target="https://mba.utdallas.edu/faq/career-internship-and-job-placements/" TargetMode="External"/><Relationship Id="rId60" Type="http://schemas.openxmlformats.org/officeDocument/2006/relationships/hyperlink" Target="https://www.wisc.edu/careers/" TargetMode="External"/><Relationship Id="rId65" Type="http://schemas.openxmlformats.org/officeDocument/2006/relationships/hyperlink" Target="https://www.bsu.edu/careercenter" TargetMode="External"/><Relationship Id="rId73" Type="http://schemas.openxmlformats.org/officeDocument/2006/relationships/hyperlink" Target="https://www.usnews.com/education/online-education/mba/rankings?edu-2401-control=true" TargetMode="External"/><Relationship Id="rId78" Type="http://schemas.openxmlformats.org/officeDocument/2006/relationships/hyperlink" Target="https://www.marshall.usc.edu/programs/graduate-programs/mba-programs/online-mba" TargetMode="External"/><Relationship Id="rId81" Type="http://schemas.openxmlformats.org/officeDocument/2006/relationships/hyperlink" Target="https://foster.uw.edu/academics/degree-programs/hybrid-mba/fees-and-financing/" TargetMode="External"/><Relationship Id="rId86" Type="http://schemas.openxmlformats.org/officeDocument/2006/relationships/hyperlink" Target="https://www.wisconsinonlinemba.org/costs-aid/" TargetMode="External"/><Relationship Id="rId94" Type="http://schemas.openxmlformats.org/officeDocument/2006/relationships/hyperlink" Target="https://tippie.uiowa.edu/iowa-mba/tuition-aid" TargetMode="External"/><Relationship Id="rId4" Type="http://schemas.openxmlformats.org/officeDocument/2006/relationships/hyperlink" Target="https://foster.uw.edu/academics/degree-programs/hybrid-mba/" TargetMode="External"/><Relationship Id="rId9" Type="http://schemas.openxmlformats.org/officeDocument/2006/relationships/hyperlink" Target="https://www.purdueglobal.edu/degree-programs/business/online-mba-master-business-administration/" TargetMode="External"/><Relationship Id="rId13" Type="http://schemas.openxmlformats.org/officeDocument/2006/relationships/hyperlink" Target="https://www.butler.edu/plus/program/online-mba-program/" TargetMode="External"/><Relationship Id="rId18" Type="http://schemas.openxmlformats.org/officeDocument/2006/relationships/hyperlink" Target="https://business.purdue.edu/master-of-business/online-masters-in-business-administration/overview/home.php" TargetMode="External"/><Relationship Id="rId39" Type="http://schemas.openxmlformats.org/officeDocument/2006/relationships/hyperlink" Target="https://giesonline.illinois.edu/why-gies-online/beyond-the-classroom" TargetMode="External"/><Relationship Id="rId34" Type="http://schemas.openxmlformats.org/officeDocument/2006/relationships/hyperlink" Target="https://www.usnews.com/education/online-education/university-of-southern-indiana-OBUS0768/mba?edu-2401-variation=true" TargetMode="External"/><Relationship Id="rId50" Type="http://schemas.openxmlformats.org/officeDocument/2006/relationships/hyperlink" Target="https://www.cmu.edu/tepper/programs/mba/admissions/mba-class-profiles/mba-online-hybrid.html" TargetMode="External"/><Relationship Id="rId55" Type="http://schemas.openxmlformats.org/officeDocument/2006/relationships/hyperlink" Target="https://students.marshall.usc.edu/current-students/career-services&#160;&#160;/&#160;https:/www.marshall.usc.edu/trojan-network/career-services" TargetMode="External"/><Relationship Id="rId76" Type="http://schemas.openxmlformats.org/officeDocument/2006/relationships/hyperlink" Target="https://www.usnews.com/education/online-education/indiana-university-bloomington-OBUS0276/mba" TargetMode="External"/><Relationship Id="rId97" Type="http://schemas.microsoft.com/office/2017/10/relationships/threadedComment" Target="../threadedComments/threadedComment3.xml"/><Relationship Id="rId7" Type="http://schemas.openxmlformats.org/officeDocument/2006/relationships/hyperlink" Target="https://www.rit.edu/study/business-administration-online-executive-mba" TargetMode="External"/><Relationship Id="rId71" Type="http://schemas.openxmlformats.org/officeDocument/2006/relationships/hyperlink" Target="https://www.usnews.com/education/online-education/mba/rankings?edu-2401-control=true" TargetMode="External"/><Relationship Id="rId92" Type="http://schemas.openxmlformats.org/officeDocument/2006/relationships/hyperlink" Target="https://olin.washu.edu/programs/mbas/flex-mba/cost-aid-scholarships.php" TargetMode="External"/><Relationship Id="rId2" Type="http://schemas.openxmlformats.org/officeDocument/2006/relationships/hyperlink" Target="https://online.unc.edu/online-masters-programs/online-mba/" TargetMode="External"/><Relationship Id="rId29" Type="http://schemas.openxmlformats.org/officeDocument/2006/relationships/hyperlink" Target="https://www.usnews.com/education/online-education/university-of-washington-seattle-campus-OBUS0793/mba" TargetMode="External"/><Relationship Id="rId24" Type="http://schemas.openxmlformats.org/officeDocument/2006/relationships/hyperlink" Target="https://www.usnews.com/education/online-education/arizona-state-university-OBUS0021/mba?edu-2401-variation=true" TargetMode="External"/><Relationship Id="rId40" Type="http://schemas.openxmlformats.org/officeDocument/2006/relationships/hyperlink" Target="https://www.butler.edu/admission-aid/tuition-costs/" TargetMode="External"/><Relationship Id="rId45" Type="http://schemas.openxmlformats.org/officeDocument/2006/relationships/hyperlink" Target="https://www.cmu.edu/tepper/programs/mba/admissions/mba-class-profiles/mba-online-hybrid.html" TargetMode="External"/><Relationship Id="rId66" Type="http://schemas.openxmlformats.org/officeDocument/2006/relationships/hyperlink" Target="https://careers.uiowa.edu/" TargetMode="External"/><Relationship Id="rId87" Type="http://schemas.openxmlformats.org/officeDocument/2006/relationships/hyperlink" Target="https://giesonline.illinois.edu/explore-programs/online-mba" TargetMode="External"/><Relationship Id="rId61" Type="http://schemas.openxmlformats.org/officeDocument/2006/relationships/hyperlink" Target="https://www.rit.edu/emcs/cdc" TargetMode="External"/><Relationship Id="rId82" Type="http://schemas.openxmlformats.org/officeDocument/2006/relationships/hyperlink" Target="https://wpcarey.asu.edu/mba-programs/online" TargetMode="External"/><Relationship Id="rId19" Type="http://schemas.openxmlformats.org/officeDocument/2006/relationships/hyperlink" Target="https://foster.uw.edu/academics/degree-programs/hybrid-mba/" TargetMode="External"/><Relationship Id="rId14" Type="http://schemas.openxmlformats.org/officeDocument/2006/relationships/hyperlink" Target="https://online.usi.edu/degrees/business/mba/general/" TargetMode="External"/><Relationship Id="rId30" Type="http://schemas.openxmlformats.org/officeDocument/2006/relationships/hyperlink" Target="https://www.usnews.com/education/online-education/university-of-arizona-OBUS0653/mba?edu-2401-variation=true" TargetMode="External"/><Relationship Id="rId35" Type="http://schemas.openxmlformats.org/officeDocument/2006/relationships/hyperlink" Target="https://www.usnews.com/education/online-education/trine-university-OBUS1016/mba" TargetMode="External"/><Relationship Id="rId56" Type="http://schemas.openxmlformats.org/officeDocument/2006/relationships/hyperlink" Target="https://www.cmu.edu/career/about-us/meet-the-team/index.html" TargetMode="External"/><Relationship Id="rId77" Type="http://schemas.openxmlformats.org/officeDocument/2006/relationships/hyperlink" Target="https://www.usnews.com/education/online-education/university-of-north-carolina-at-chapel-hill-OBUS0736/mba" TargetMode="External"/><Relationship Id="rId8" Type="http://schemas.openxmlformats.org/officeDocument/2006/relationships/hyperlink" Target="https://mba.utdallas.edu/academics/professional-mba-online/" TargetMode="External"/><Relationship Id="rId51" Type="http://schemas.openxmlformats.org/officeDocument/2006/relationships/hyperlink" Target="https://onlinemba.unc.edu/academics/" TargetMode="External"/><Relationship Id="rId72" Type="http://schemas.openxmlformats.org/officeDocument/2006/relationships/hyperlink" Target="https://www.usnews.com/education/online-education/mba/rankings?edu-2401-control=true" TargetMode="External"/><Relationship Id="rId93" Type="http://schemas.openxmlformats.org/officeDocument/2006/relationships/hyperlink" Target="https://www.purdueglobal.edu/degree-programs/business/online-mba-master-business-administration/"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mendoza.nd.edu/graduate-programs/accountancy-msa/accountancy-curriculum/" TargetMode="External"/><Relationship Id="rId21" Type="http://schemas.openxmlformats.org/officeDocument/2006/relationships/hyperlink" Target="https://giesbusiness.illinois.edu/msa/curriculum" TargetMode="External"/><Relationship Id="rId42" Type="http://schemas.openxmlformats.org/officeDocument/2006/relationships/hyperlink" Target="https://www.cob.niu.edu/academics/accountancy/advising.shtml" TargetMode="External"/><Relationship Id="rId47" Type="http://schemas.openxmlformats.org/officeDocument/2006/relationships/hyperlink" Target="https://kelley.iu.edu/programs/ms-accounting/academics/class-profile.html" TargetMode="External"/><Relationship Id="rId63" Type="http://schemas.openxmlformats.org/officeDocument/2006/relationships/hyperlink" Target="https://www.topuniversities.com/university-subject-rankings/accounting-finance?items_per_page=150" TargetMode="External"/><Relationship Id="rId68" Type="http://schemas.openxmlformats.org/officeDocument/2006/relationships/hyperlink" Target="https://giesbusiness.illinois.edu/msa/tuition" TargetMode="External"/><Relationship Id="rId7" Type="http://schemas.openxmlformats.org/officeDocument/2006/relationships/hyperlink" Target="https://www.best-masters.com/ranking-master-accounting-in-north-america/gmacc-graduate-master-of-accountancy-macc-university-of-wisconsin-madison-wisconsin-school-of-business.html" TargetMode="External"/><Relationship Id="rId71" Type="http://schemas.openxmlformats.org/officeDocument/2006/relationships/hyperlink" Target="https://bursar.niu.edu/bursar/_pdf/tuition/2526-grad-law-tuition-and-fee-breakout.pdf" TargetMode="External"/><Relationship Id="rId2" Type="http://schemas.openxmlformats.org/officeDocument/2006/relationships/hyperlink" Target="https://giesbusiness.illinois.edu/msa" TargetMode="External"/><Relationship Id="rId16" Type="http://schemas.openxmlformats.org/officeDocument/2006/relationships/hyperlink" Target="https://business.purdue.edu/masters/student-experience/home.php" TargetMode="External"/><Relationship Id="rId29" Type="http://schemas.openxmlformats.org/officeDocument/2006/relationships/hyperlink" Target="https://mendoza.nd.edu/graduate-programs/accountancy-msa/" TargetMode="External"/><Relationship Id="rId11" Type="http://schemas.openxmlformats.org/officeDocument/2006/relationships/hyperlink" Target="https://www.usnews.com/best-graduate-schools/top-business-schools/accounting-rankings?name=Wisco" TargetMode="External"/><Relationship Id="rId24" Type="http://schemas.openxmlformats.org/officeDocument/2006/relationships/hyperlink" Target="https://kelley.iu.edu/undergraduate/academics/workshops/investment-management.html" TargetMode="External"/><Relationship Id="rId32" Type="http://schemas.openxmlformats.org/officeDocument/2006/relationships/hyperlink" Target="https://business.wisc.edu/graduate/masters/accounting-business-analysis/" TargetMode="External"/><Relationship Id="rId37" Type="http://schemas.openxmlformats.org/officeDocument/2006/relationships/hyperlink" Target="https://kelley.iu.edu/programs/ms-accounting/academics/curriculum/index.html" TargetMode="External"/><Relationship Id="rId40" Type="http://schemas.openxmlformats.org/officeDocument/2006/relationships/hyperlink" Target="https://www.cob.niu.edu/academics/accountancy/internship-program/index.shtml" TargetMode="External"/><Relationship Id="rId45" Type="http://schemas.openxmlformats.org/officeDocument/2006/relationships/hyperlink" Target="https://kelley.iu.edu/programs/ms-accounting/academics/class-profile.html" TargetMode="External"/><Relationship Id="rId53" Type="http://schemas.openxmlformats.org/officeDocument/2006/relationships/hyperlink" Target="https://mendoza.nd.edu/graduate-programs/accountancy-msa/" TargetMode="External"/><Relationship Id="rId58" Type="http://schemas.openxmlformats.org/officeDocument/2006/relationships/hyperlink" Target="https://business.wisc.edu/graduate/masters/accounting-business-analysis/admissions/class-profile/" TargetMode="External"/><Relationship Id="rId66" Type="http://schemas.openxmlformats.org/officeDocument/2006/relationships/hyperlink" Target="https://business.purdue.edu/masters/programs/ms-accounting/tuition.php" TargetMode="External"/><Relationship Id="rId5" Type="http://schemas.openxmlformats.org/officeDocument/2006/relationships/hyperlink" Target="https://www.cob.niu.edu/academics/accountancy/master-of-accounting-science/index.shtml" TargetMode="External"/><Relationship Id="rId61" Type="http://schemas.openxmlformats.org/officeDocument/2006/relationships/hyperlink" Target="https://www.topuniversities.com/university-subject-rankings/accounting-finance?items_per_page=150" TargetMode="External"/><Relationship Id="rId19" Type="http://schemas.openxmlformats.org/officeDocument/2006/relationships/hyperlink" Target="https://business.purdue.edu/masters/student-experience/home.php" TargetMode="External"/><Relationship Id="rId14" Type="http://schemas.openxmlformats.org/officeDocument/2006/relationships/hyperlink" Target="https://www.best-masters.com/ranking-master-accounting-in-north-america/master-of-science-accounting-purdue-university-krannert-school-of-management.html" TargetMode="External"/><Relationship Id="rId22" Type="http://schemas.openxmlformats.org/officeDocument/2006/relationships/hyperlink" Target="https://giesbusiness.illinois.edu/accountancy/vita-program/vita-program-for-students" TargetMode="External"/><Relationship Id="rId27" Type="http://schemas.openxmlformats.org/officeDocument/2006/relationships/hyperlink" Target="https://mendoza.nd.edu/graduate-programs/accountancy-msa/" TargetMode="External"/><Relationship Id="rId30" Type="http://schemas.openxmlformats.org/officeDocument/2006/relationships/hyperlink" Target="https://mendoza.nd.edu/graduate-programs/accountancy-msa/" TargetMode="External"/><Relationship Id="rId35" Type="http://schemas.openxmlformats.org/officeDocument/2006/relationships/hyperlink" Target="https://business.wisc.edu/graduate/masters/accounting-business-analysis/" TargetMode="External"/><Relationship Id="rId43" Type="http://schemas.openxmlformats.org/officeDocument/2006/relationships/hyperlink" Target="https://www.cob.niu.edu/academics/accountancy/master-of-accounting-science/index.shtml" TargetMode="External"/><Relationship Id="rId48" Type="http://schemas.openxmlformats.org/officeDocument/2006/relationships/hyperlink" Target="https://kelley.iu.edu/recruiters-companies/graduate/employment-statistics/accounting/index.html" TargetMode="External"/><Relationship Id="rId56" Type="http://schemas.openxmlformats.org/officeDocument/2006/relationships/hyperlink" Target="https://business.wisc.edu/graduate/masters/accounting-business-analysis/admissions/class-profile/" TargetMode="External"/><Relationship Id="rId64" Type="http://schemas.openxmlformats.org/officeDocument/2006/relationships/hyperlink" Target="https://www.topuniversities.com/university-subject-rankings/accounting-finance?items_per_page=150" TargetMode="External"/><Relationship Id="rId69" Type="http://schemas.openxmlformats.org/officeDocument/2006/relationships/hyperlink" Target="https://mendoza.nd.edu/graduate-programs/accountancy-msa/" TargetMode="External"/><Relationship Id="rId8" Type="http://schemas.openxmlformats.org/officeDocument/2006/relationships/hyperlink" Target="https://www.best-masters.com/ranking-master-accounting-in-north-america/master-of-science-in-accountancy-university-of-illinois-gies-college-of-business.html" TargetMode="External"/><Relationship Id="rId51" Type="http://schemas.openxmlformats.org/officeDocument/2006/relationships/hyperlink" Target="https://business.purdue.edu/careers/" TargetMode="External"/><Relationship Id="rId3" Type="http://schemas.openxmlformats.org/officeDocument/2006/relationships/hyperlink" Target="https://mendoza.nd.edu/graduate-programs/accountancy-msa/" TargetMode="External"/><Relationship Id="rId12" Type="http://schemas.openxmlformats.org/officeDocument/2006/relationships/hyperlink" Target="https://www.usnews.com/best-graduate-schools/top-business-schools/accounting-rankings?name=Indiana" TargetMode="External"/><Relationship Id="rId17" Type="http://schemas.openxmlformats.org/officeDocument/2006/relationships/hyperlink" Target="https://business.purdue.edu/masters/student-experience/home.php" TargetMode="External"/><Relationship Id="rId25" Type="http://schemas.openxmlformats.org/officeDocument/2006/relationships/hyperlink" Target="https://giesonline.illinois.edu/explore-programs/online-masters-in-accounting?source=adwords&amp;utm_medium=paid&amp;&amp;utm_source=google&amp;utm_campaign=imsa_fy26&amp;scid=4060672&amp;kw=39541633&amp;pub_cr_id=764000113174&amp;device=c&amp;network=g&amp;targetid=kwd-330482540619&amp;loc_interest_ms=&amp;loc_physical_ms=9016722&amp;tc=CjwKCAjwq9rFBhAIEiwAGVAZP6lpvLyeUQ7K5j3Ij1uTBX4NTWkgDTCfSOEnImEocsNpZOfxOf8LQBoCZXkQAvD_BwE&amp;rl_key=80e0063ca435ec7258c2104fd1dd94f5&amp;gad_source=1&amp;gad_campaignid=14485217259&amp;gbraid=0AAAAABJR7BOgWSjyeDc0TKbU00V62dEuG&amp;gclid=CjwKCAjwq9rFBhAIEiwAGVAZP6lpvLyeUQ7K5j3Ij1uTBX4NTWkgDTCfSOEnImEocsNpZOfxOf8LQBoCZXkQAvD_BwE" TargetMode="External"/><Relationship Id="rId33" Type="http://schemas.openxmlformats.org/officeDocument/2006/relationships/hyperlink" Target="https://business.wisc.edu/graduate/masters/accounting-business-analysis/" TargetMode="External"/><Relationship Id="rId38" Type="http://schemas.openxmlformats.org/officeDocument/2006/relationships/hyperlink" Target="https://catalog.niu.edu/preview_program.php?catoid=55&amp;poid=14141" TargetMode="External"/><Relationship Id="rId46" Type="http://schemas.openxmlformats.org/officeDocument/2006/relationships/hyperlink" Target="https://kelley.iu.edu/programs/ms-accounting/academics/class-profile.html" TargetMode="External"/><Relationship Id="rId59" Type="http://schemas.openxmlformats.org/officeDocument/2006/relationships/hyperlink" Target="https://business.wisc.edu/graduate/masters/accounting-business-analysis/admissions/class-profile/" TargetMode="External"/><Relationship Id="rId67" Type="http://schemas.openxmlformats.org/officeDocument/2006/relationships/hyperlink" Target="https://kelley.iu.edu/programs/ms-accounting/admissions/financial-assistance.html" TargetMode="External"/><Relationship Id="rId20" Type="http://schemas.openxmlformats.org/officeDocument/2006/relationships/hyperlink" Target="https://kelley.iu.edu/programs/ms-accounting/academics/curriculum/index.html" TargetMode="External"/><Relationship Id="rId41" Type="http://schemas.openxmlformats.org/officeDocument/2006/relationships/hyperlink" Target="https://www.cob.niu.edu/academics/accountancy/master-of-accountancy/index.shtml" TargetMode="External"/><Relationship Id="rId54" Type="http://schemas.openxmlformats.org/officeDocument/2006/relationships/hyperlink" Target="https://mendoza.nd.edu/graduate-programs/accountancy-msa/" TargetMode="External"/><Relationship Id="rId62" Type="http://schemas.openxmlformats.org/officeDocument/2006/relationships/hyperlink" Target="https://www.topuniversities.com/university-subject-rankings/accounting-finance?items_per_page=150" TargetMode="External"/><Relationship Id="rId70" Type="http://schemas.openxmlformats.org/officeDocument/2006/relationships/hyperlink" Target="https://business.wisc.edu/graduate/masters/accounting-business-analysis/tuition/" TargetMode="External"/><Relationship Id="rId1" Type="http://schemas.openxmlformats.org/officeDocument/2006/relationships/hyperlink" Target="https://kelley.iu.edu/programs/ms-accounting/index.html" TargetMode="External"/><Relationship Id="rId6" Type="http://schemas.openxmlformats.org/officeDocument/2006/relationships/hyperlink" Target="https://www.best-masters.com/ranking-master-accounting-in-north-america/master-of-business-administration-in-accounting-indiana-university-kelley-business-school.html" TargetMode="External"/><Relationship Id="rId15" Type="http://schemas.openxmlformats.org/officeDocument/2006/relationships/hyperlink" Target="https://business.purdue.edu/masters/programs/ms-accounting/curriculum.php" TargetMode="External"/><Relationship Id="rId23" Type="http://schemas.openxmlformats.org/officeDocument/2006/relationships/hyperlink" Target="https://giesbusiness.illinois.edu/accountancy/vita-program/vita-program-for-students" TargetMode="External"/><Relationship Id="rId28" Type="http://schemas.openxmlformats.org/officeDocument/2006/relationships/hyperlink" Target="https://mendoza.nd.edu/graduate-programs/accountancy-msa/" TargetMode="External"/><Relationship Id="rId36" Type="http://schemas.openxmlformats.org/officeDocument/2006/relationships/hyperlink" Target="https://kelley.iu.edu/programs/ms-accounting/academics/curriculum/index.html" TargetMode="External"/><Relationship Id="rId49" Type="http://schemas.openxmlformats.org/officeDocument/2006/relationships/hyperlink" Target="https://kelley.iu.edu/programs/ms-accounting/careers-and-recruiting/recruiting.html" TargetMode="External"/><Relationship Id="rId57" Type="http://schemas.openxmlformats.org/officeDocument/2006/relationships/hyperlink" Target="https://business.wisc.edu/graduate/masters/accounting-business-analysis/admissions/class-profile/" TargetMode="External"/><Relationship Id="rId10" Type="http://schemas.openxmlformats.org/officeDocument/2006/relationships/hyperlink" Target="https://www.usnews.com/best-graduate-schools/top-business-schools/accounting-rankings?name=Notre" TargetMode="External"/><Relationship Id="rId31" Type="http://schemas.openxmlformats.org/officeDocument/2006/relationships/hyperlink" Target="https://business.wisc.edu/graduate/masters/accounting-business-analysis/curriculum/" TargetMode="External"/><Relationship Id="rId44" Type="http://schemas.openxmlformats.org/officeDocument/2006/relationships/hyperlink" Target="https://www.cob.niu.edu/experiences/study-abroad/index.shtml" TargetMode="External"/><Relationship Id="rId52" Type="http://schemas.openxmlformats.org/officeDocument/2006/relationships/hyperlink" Target="https://business.purdue.edu/careers/" TargetMode="External"/><Relationship Id="rId60" Type="http://schemas.openxmlformats.org/officeDocument/2006/relationships/hyperlink" Target="https://www.best-masters.com/ranking-master-accounting-in-north-america/master-of-science-in-accountancy-university-of-illinois-gies-college-of-business.html" TargetMode="External"/><Relationship Id="rId65" Type="http://schemas.openxmlformats.org/officeDocument/2006/relationships/hyperlink" Target="https://giesbusiness.illinois.edu/mas/mas-Accy-Opportunities" TargetMode="External"/><Relationship Id="rId4" Type="http://schemas.openxmlformats.org/officeDocument/2006/relationships/hyperlink" Target="https://business.wisc.edu/graduate/masters/accounting-business-analysis/" TargetMode="External"/><Relationship Id="rId9" Type="http://schemas.openxmlformats.org/officeDocument/2006/relationships/hyperlink" Target="https://www.usnews.com/best-graduate-schools/top-business-schools/accounting-rankings?name=Illin" TargetMode="External"/><Relationship Id="rId13" Type="http://schemas.openxmlformats.org/officeDocument/2006/relationships/hyperlink" Target="https://business.purdue.edu/masters/programs/ms-accounting/home.php" TargetMode="External"/><Relationship Id="rId18" Type="http://schemas.openxmlformats.org/officeDocument/2006/relationships/hyperlink" Target="https://business.purdue.edu/masters/student-experience/home.php" TargetMode="External"/><Relationship Id="rId39" Type="http://schemas.openxmlformats.org/officeDocument/2006/relationships/hyperlink" Target="https://www.cob.niu.edu/academics/accountancy/master-of-accounting-science/index.shtml" TargetMode="External"/><Relationship Id="rId34" Type="http://schemas.openxmlformats.org/officeDocument/2006/relationships/hyperlink" Target="https://business.wisc.edu/graduate/masters/accounting-business-analysis/" TargetMode="External"/><Relationship Id="rId50" Type="http://schemas.openxmlformats.org/officeDocument/2006/relationships/hyperlink" Target="https://kelley.iu.edu/programs/ms-accounting/careers-and-recruiting/index.html" TargetMode="External"/><Relationship Id="rId55" Type="http://schemas.openxmlformats.org/officeDocument/2006/relationships/hyperlink" Target="https://mendoza.nd.edu/graduate-programs/accountancy-msa/"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business.purdue.edu/masters/programs/ms-business-analytics-and-information-management/experience/future-edelman.php" TargetMode="External"/><Relationship Id="rId21" Type="http://schemas.openxmlformats.org/officeDocument/2006/relationships/hyperlink" Target="https://www.usnews.com/best-graduate-schools/top-business-schools/business-analytics-rankings?name=University%20of%20Southern%20California" TargetMode="External"/><Relationship Id="rId42" Type="http://schemas.openxmlformats.org/officeDocument/2006/relationships/hyperlink" Target="https://www.mccombs.utexas.edu/centers-initiatives/" TargetMode="External"/><Relationship Id="rId47" Type="http://schemas.openxmlformats.org/officeDocument/2006/relationships/hyperlink" Target="https://carlsonschool.umn.edu/graduate/masters/business-analytics/admissions/class-profile" TargetMode="External"/><Relationship Id="rId63" Type="http://schemas.openxmlformats.org/officeDocument/2006/relationships/hyperlink" Target="https://www.analytics.gatech.edu/inside-our-program/reports-statistics" TargetMode="External"/><Relationship Id="rId68" Type="http://schemas.openxmlformats.org/officeDocument/2006/relationships/hyperlink" Target="https://pe.gatech.edu/degrees/analytics" TargetMode="External"/><Relationship Id="rId84" Type="http://schemas.openxmlformats.org/officeDocument/2006/relationships/hyperlink" Target="https://www.anderson.ucla.edu/degrees/master-of-science-in-business-analytics/academics" TargetMode="External"/><Relationship Id="rId89" Type="http://schemas.openxmlformats.org/officeDocument/2006/relationships/hyperlink" Target="https://www.marshall.usc.edu/programs/graduate-programs/specialized-masters/ms-business-analytics" TargetMode="External"/><Relationship Id="rId16" Type="http://schemas.openxmlformats.org/officeDocument/2006/relationships/hyperlink" Target="https://www.usnews.com/best-graduate-schools/top-business-schools/business-analytics-rankings?name=Min" TargetMode="External"/><Relationship Id="rId11" Type="http://schemas.openxmlformats.org/officeDocument/2006/relationships/hyperlink" Target="https://www.topuniversities.com/business-masters-rankings/business-analytics?countries=257&amp;search=Arizona" TargetMode="External"/><Relationship Id="rId32" Type="http://schemas.openxmlformats.org/officeDocument/2006/relationships/hyperlink" Target="https://www.purdue.edu/treasurer/finance/bursar-office/tuition/fee-rates-2025-2026/graduate-tuition-and-fees-2025-2026/" TargetMode="External"/><Relationship Id="rId37" Type="http://schemas.openxmlformats.org/officeDocument/2006/relationships/hyperlink" Target="https://www.mccombs.utexas.edu/graduate/specialized-masters/ms-business-analytics/ms-business-analytics-on-campus/admissions/class-stats/" TargetMode="External"/><Relationship Id="rId53" Type="http://schemas.openxmlformats.org/officeDocument/2006/relationships/hyperlink" Target="https://carlsonschool.umn.edu/graduate/masters/business-analytics/curriculum" TargetMode="External"/><Relationship Id="rId58" Type="http://schemas.openxmlformats.org/officeDocument/2006/relationships/hyperlink" Target="https://carlsonschool.umn.edu/graduate/masters/business-analytics/careers/employment-statistics" TargetMode="External"/><Relationship Id="rId74" Type="http://schemas.openxmlformats.org/officeDocument/2006/relationships/hyperlink" Target="https://wpcarey.asu.edu/masters-programs/business-analytics/experience" TargetMode="External"/><Relationship Id="rId79" Type="http://schemas.openxmlformats.org/officeDocument/2006/relationships/hyperlink" Target="https://www.anderson.ucla.edu/degrees/master-of-science-in-business-analytics/admissions/class-profile" TargetMode="External"/><Relationship Id="rId102" Type="http://schemas.openxmlformats.org/officeDocument/2006/relationships/hyperlink" Target="https://www.stern.nyu.edu/programs-admissions/full-time-mba/academics/experiential-learning" TargetMode="External"/><Relationship Id="rId5" Type="http://schemas.openxmlformats.org/officeDocument/2006/relationships/hyperlink" Target="https://www.anderson.ucla.edu/degrees/master-of-science-in-business-analytics-msba" TargetMode="External"/><Relationship Id="rId90" Type="http://schemas.openxmlformats.org/officeDocument/2006/relationships/hyperlink" Target="https://www.marshall.usc.edu/programs/graduate-programs/specialized-masters/ms-business-analytics/meet-our-students" TargetMode="External"/><Relationship Id="rId95" Type="http://schemas.openxmlformats.org/officeDocument/2006/relationships/hyperlink" Target="https://stern.shanghai.nyu.edu/en/program/ms-data-analytics-business-computing/class-profile" TargetMode="External"/><Relationship Id="rId22" Type="http://schemas.openxmlformats.org/officeDocument/2006/relationships/hyperlink" Target="https://www.topuniversities.com/business-masters-rankings/business-analytics?countries=257&amp;search=Purdue" TargetMode="External"/><Relationship Id="rId27" Type="http://schemas.openxmlformats.org/officeDocument/2006/relationships/hyperlink" Target="https://business.purdue.edu/masters/programs/ms-business-analytics-and-information-management/experience/%20%20%20%20%20%20https:/business.purdue.edu/experiential-learning/home.php" TargetMode="External"/><Relationship Id="rId43" Type="http://schemas.openxmlformats.org/officeDocument/2006/relationships/hyperlink" Target="https://www.mccombs.utexas.edu/graduate/specialized-masters/ms-business-analytics/ms-business-analytics-on-campus/career-management/" TargetMode="External"/><Relationship Id="rId48" Type="http://schemas.openxmlformats.org/officeDocument/2006/relationships/hyperlink" Target="https://carlsonschool.umn.edu/graduate/masters/business-analytics/admissions/class-profile" TargetMode="External"/><Relationship Id="rId64" Type="http://schemas.openxmlformats.org/officeDocument/2006/relationships/hyperlink" Target="https://www.analytics.gatech.edu/inside-our-program/reports-statistics" TargetMode="External"/><Relationship Id="rId69" Type="http://schemas.openxmlformats.org/officeDocument/2006/relationships/hyperlink" Target="https://www.analytics.gatech.edu/inside-our-program/career-services" TargetMode="External"/><Relationship Id="rId80" Type="http://schemas.openxmlformats.org/officeDocument/2006/relationships/hyperlink" Target="https://www.anderson.ucla.edu/degrees/master-of-science-in-business-analytics/admissions/class-profile" TargetMode="External"/><Relationship Id="rId85" Type="http://schemas.openxmlformats.org/officeDocument/2006/relationships/hyperlink" Target="https://www.anderson.ucla.edu/degrees/master-of-science-in-business-analytics/academics" TargetMode="External"/><Relationship Id="rId12" Type="http://schemas.openxmlformats.org/officeDocument/2006/relationships/hyperlink" Target="https://www.topuniversities.com/business-masters-rankings/business-analytics?countries=257&amp;cities=New%20York%20(NY)&amp;search=New" TargetMode="External"/><Relationship Id="rId17" Type="http://schemas.openxmlformats.org/officeDocument/2006/relationships/hyperlink" Target="https://www.usnews.com/best-graduate-schools/top-business-schools/business-analytics-rankings?name=Geor" TargetMode="External"/><Relationship Id="rId25" Type="http://schemas.openxmlformats.org/officeDocument/2006/relationships/hyperlink" Target="https://business.purdue.edu/masters/programs/ms-business-analytics-and-information-management/curriculum.php" TargetMode="External"/><Relationship Id="rId33" Type="http://schemas.openxmlformats.org/officeDocument/2006/relationships/hyperlink" Target="https://www.purdue.edu/treasurer/finance/bursar-office/tuition/fee-rates-2025-2026/graduate-tuition-and-fees-2025-2026/" TargetMode="External"/><Relationship Id="rId38" Type="http://schemas.openxmlformats.org/officeDocument/2006/relationships/hyperlink" Target="https://www.mccombs.utexas.edu/wp-content/uploads/2024/06/MSBA-Class-of-2024-Factsheet.pdf" TargetMode="External"/><Relationship Id="rId46" Type="http://schemas.openxmlformats.org/officeDocument/2006/relationships/hyperlink" Target="https://carlsonschool.umn.edu/graduate/masters/business-analytics/admissions/class-profile" TargetMode="External"/><Relationship Id="rId59" Type="http://schemas.openxmlformats.org/officeDocument/2006/relationships/hyperlink" Target="https://carlsonschool.umn.edu/graduate/masters/business-analytics/careers.%20%20%20%20%20%20%20https:/carlsonschool.umn.edu/career-services" TargetMode="External"/><Relationship Id="rId67" Type="http://schemas.openxmlformats.org/officeDocument/2006/relationships/hyperlink" Target="https://ea.oie.gatech.edu/graduate-student-international-opportunities" TargetMode="External"/><Relationship Id="rId103" Type="http://schemas.openxmlformats.org/officeDocument/2006/relationships/hyperlink" Target="https://shanghai.nyu.edu/academics/graduate/masters-programs" TargetMode="External"/><Relationship Id="rId20" Type="http://schemas.openxmlformats.org/officeDocument/2006/relationships/hyperlink" Target="https://www.usnews.com/best-graduate-schools/top-business-schools/business-analytics-rankings?name=University%20of%20California--Los%20Angeles" TargetMode="External"/><Relationship Id="rId41" Type="http://schemas.openxmlformats.org/officeDocument/2006/relationships/hyperlink" Target="https://www.mccombs.utexas.edu/graduate/specialized-masters/ms-business-analytics/ms-business-analytics-on-campus/student-experience/" TargetMode="External"/><Relationship Id="rId54" Type="http://schemas.openxmlformats.org/officeDocument/2006/relationships/hyperlink" Target="https://carlsonschool.umn.edu/graduate/masters/business-analytics/student-life" TargetMode="External"/><Relationship Id="rId62" Type="http://schemas.openxmlformats.org/officeDocument/2006/relationships/hyperlink" Target="https://www.analytics.gatech.edu/inside-our-program/reports-statistics" TargetMode="External"/><Relationship Id="rId70" Type="http://schemas.openxmlformats.org/officeDocument/2006/relationships/hyperlink" Target="https://www.analytics.gatech.edu/inside-our-program/career-services" TargetMode="External"/><Relationship Id="rId75" Type="http://schemas.openxmlformats.org/officeDocument/2006/relationships/hyperlink" Target="https://wpcarey.asu.edu/masters-programs/business-analytics" TargetMode="External"/><Relationship Id="rId83" Type="http://schemas.openxmlformats.org/officeDocument/2006/relationships/hyperlink" Target="https://www.anderson.ucla.edu/degrees/master-of-science-in-business-analytics/admissions/class-profile" TargetMode="External"/><Relationship Id="rId88" Type="http://schemas.openxmlformats.org/officeDocument/2006/relationships/hyperlink" Target="https://www.anderson.ucla.edu/degrees/master-of-science-in-business-analytics/holistic-career-services" TargetMode="External"/><Relationship Id="rId91" Type="http://schemas.openxmlformats.org/officeDocument/2006/relationships/hyperlink" Target="https://www.marshall.usc.edu/programs/graduate-programs/specialized-masters/ms-business-analytics" TargetMode="External"/><Relationship Id="rId96" Type="http://schemas.openxmlformats.org/officeDocument/2006/relationships/hyperlink" Target="https://stern.shanghai.nyu.edu/en/program/ms-data-analytics-business-computing/class-profile" TargetMode="External"/><Relationship Id="rId1" Type="http://schemas.openxmlformats.org/officeDocument/2006/relationships/hyperlink" Target="https://www.mccombs.utexas.edu/graduate/specialized-masters/ms-business-analytics/ms-business-analytics-on-campus/" TargetMode="External"/><Relationship Id="rId6" Type="http://schemas.openxmlformats.org/officeDocument/2006/relationships/hyperlink" Target="https://www.marshall.usc.edu/programs/graduate-programs/specialized-masters/ms-business-analytics" TargetMode="External"/><Relationship Id="rId15" Type="http://schemas.openxmlformats.org/officeDocument/2006/relationships/hyperlink" Target="https://www.usnews.com/best-graduate-schools/top-business-schools/business-analytics-rankings?name=Texas" TargetMode="External"/><Relationship Id="rId23" Type="http://schemas.openxmlformats.org/officeDocument/2006/relationships/hyperlink" Target="https://premium.usnews.com/best-graduate-schools/top-business-schools/business-analytics-rankings?name=Purdue" TargetMode="External"/><Relationship Id="rId28" Type="http://schemas.openxmlformats.org/officeDocument/2006/relationships/hyperlink" Target="https://business.purdue.edu/masters/student-experience/home.php" TargetMode="External"/><Relationship Id="rId36" Type="http://schemas.openxmlformats.org/officeDocument/2006/relationships/hyperlink" Target="https://www.mccombs.utexas.edu/graduate/specialized-masters/ms-business-analytics/ms-business-analytics-on-campus/admissions/class-stats/" TargetMode="External"/><Relationship Id="rId49" Type="http://schemas.openxmlformats.org/officeDocument/2006/relationships/hyperlink" Target="https://carlsonschool.umn.edu/graduate/masters/business-analytics/admissions/class-profile" TargetMode="External"/><Relationship Id="rId57" Type="http://schemas.openxmlformats.org/officeDocument/2006/relationships/hyperlink" Target="https://carlsonschool.umn.edu/experience" TargetMode="External"/><Relationship Id="rId10" Type="http://schemas.openxmlformats.org/officeDocument/2006/relationships/hyperlink" Target="https://www.topuniversities.com/business-masters-rankings/business-analytics?countries=257&amp;search=Georgia" TargetMode="External"/><Relationship Id="rId31" Type="http://schemas.openxmlformats.org/officeDocument/2006/relationships/hyperlink" Target="https://business.purdue.edu/masters/student-experience/home.php" TargetMode="External"/><Relationship Id="rId44" Type="http://schemas.openxmlformats.org/officeDocument/2006/relationships/hyperlink" Target="https://www.mccombs.utexas.edu/graduate/specialized-masters/ms-business-analytics/ms-business-analytics-on-campus/career-management/" TargetMode="External"/><Relationship Id="rId52" Type="http://schemas.openxmlformats.org/officeDocument/2006/relationships/hyperlink" Target="https://www.metromba.com/school/minnesota-carlson-school/minnesota-carlson-master-of-science-in-business-analytics/" TargetMode="External"/><Relationship Id="rId60" Type="http://schemas.openxmlformats.org/officeDocument/2006/relationships/hyperlink" Target="https://www.analytics.gatech.edu/curriculum/msa-curriculum" TargetMode="External"/><Relationship Id="rId65" Type="http://schemas.openxmlformats.org/officeDocument/2006/relationships/hyperlink" Target="https://www.analytics.gatech.edu/prospective-students%20%20%20%20%20%20%20%20%20%20%20%20%20%20%20%20%20%20%20%20%20%20https:/www.gatech.edu/life/student-activities" TargetMode="External"/><Relationship Id="rId73" Type="http://schemas.openxmlformats.org/officeDocument/2006/relationships/hyperlink" Target="https://wpcarey.asu.edu/masters-programs/business-analytics/experience" TargetMode="External"/><Relationship Id="rId78" Type="http://schemas.openxmlformats.org/officeDocument/2006/relationships/hyperlink" Target="https://www.anderson.ucla.edu/degrees/master-of-science-in-business-analytics/admissions/class-profile" TargetMode="External"/><Relationship Id="rId81" Type="http://schemas.openxmlformats.org/officeDocument/2006/relationships/hyperlink" Target="https://www.anderson.ucla.edu/degrees/master-of-science-in-business-analytics/admissions/class-profile" TargetMode="External"/><Relationship Id="rId86" Type="http://schemas.openxmlformats.org/officeDocument/2006/relationships/hyperlink" Target="https://www.anderson.ucla.edu/degrees/master-of-science-in-business-analytics/student-life" TargetMode="External"/><Relationship Id="rId94" Type="http://schemas.openxmlformats.org/officeDocument/2006/relationships/hyperlink" Target="https://stern.shanghai.nyu.edu/en/program/ms-data-analytics-business-computing/class-profile" TargetMode="External"/><Relationship Id="rId99" Type="http://schemas.openxmlformats.org/officeDocument/2006/relationships/hyperlink" Target="https://stern.shanghai.nyu.edu/en/experience/careers/services-and-resources" TargetMode="External"/><Relationship Id="rId101" Type="http://schemas.openxmlformats.org/officeDocument/2006/relationships/hyperlink" Target="https://stern.shanghai.nyu.edu/en/community" TargetMode="External"/><Relationship Id="rId4" Type="http://schemas.openxmlformats.org/officeDocument/2006/relationships/hyperlink" Target="https://wpcarey.asu.edu/masters-programs/business-analytics" TargetMode="External"/><Relationship Id="rId9" Type="http://schemas.openxmlformats.org/officeDocument/2006/relationships/hyperlink" Target="https://www.topuniversities.com/business-masters-rankings/business-analytics?countries=257&amp;search=Minn" TargetMode="External"/><Relationship Id="rId13" Type="http://schemas.openxmlformats.org/officeDocument/2006/relationships/hyperlink" Target="https://www.topuniversities.com/business-masters-rankings/business-analytics?countries=257&amp;search=UCLA" TargetMode="External"/><Relationship Id="rId18" Type="http://schemas.openxmlformats.org/officeDocument/2006/relationships/hyperlink" Target="https://www.usnews.com/best-graduate-schools/top-business-schools/business-analytics-rankings?name=Arizon" TargetMode="External"/><Relationship Id="rId39" Type="http://schemas.openxmlformats.org/officeDocument/2006/relationships/hyperlink" Target="https://www.mccombs.utexas.edu/wp-content/uploads/2024/06/MSBA-Class-of-2024-Factsheet.pdf" TargetMode="External"/><Relationship Id="rId34" Type="http://schemas.openxmlformats.org/officeDocument/2006/relationships/hyperlink" Target="https://www.purdue.edu/treasurer/finance/bursar-office/tuition/fee-rates-2025-2026/graduate-tuition-and-fees-2025-2026/" TargetMode="External"/><Relationship Id="rId50" Type="http://schemas.openxmlformats.org/officeDocument/2006/relationships/hyperlink" Target="https://www.metromba.com/school/minnesota-carlson-school/minnesota-carlson-master-of-science-in-business-analytics/" TargetMode="External"/><Relationship Id="rId55" Type="http://schemas.openxmlformats.org/officeDocument/2006/relationships/hyperlink" Target="https://carlsonschool.umn.edu/experience/experiential-learning" TargetMode="External"/><Relationship Id="rId76" Type="http://schemas.openxmlformats.org/officeDocument/2006/relationships/hyperlink" Target="https://www.anderson.ucla.edu/degrees/master-of-science-in-business-analytics/admissions/class-profile" TargetMode="External"/><Relationship Id="rId97" Type="http://schemas.openxmlformats.org/officeDocument/2006/relationships/hyperlink" Target="https://stern.shanghai.nyu.edu/en/program/ms-data-analytics-business-computing/class-profile" TargetMode="External"/><Relationship Id="rId104" Type="http://schemas.openxmlformats.org/officeDocument/2006/relationships/hyperlink" Target="https://www.stern.nyu.edu/programs-admissions/full-time-mba/career/test-employment-statistics" TargetMode="External"/><Relationship Id="rId7" Type="http://schemas.openxmlformats.org/officeDocument/2006/relationships/hyperlink" Target="https://stern.shanghai.nyu.edu/en/program/ms-data-analytics-business-computing" TargetMode="External"/><Relationship Id="rId71" Type="http://schemas.openxmlformats.org/officeDocument/2006/relationships/hyperlink" Target="https://wpcarey.asu.edu/masters-programs/business-analytics" TargetMode="External"/><Relationship Id="rId92" Type="http://schemas.openxmlformats.org/officeDocument/2006/relationships/hyperlink" Target="https://www.marshall.usc.edu/programs/graduate-programs/specialized-masters/ms-business-analytics" TargetMode="External"/><Relationship Id="rId2" Type="http://schemas.openxmlformats.org/officeDocument/2006/relationships/hyperlink" Target="https://carlsonschool.umn.edu/graduate/masters/business-analytics" TargetMode="External"/><Relationship Id="rId29" Type="http://schemas.openxmlformats.org/officeDocument/2006/relationships/hyperlink" Target="https://business.purdue.edu/masters/student-experience/home.php" TargetMode="External"/><Relationship Id="rId24" Type="http://schemas.openxmlformats.org/officeDocument/2006/relationships/hyperlink" Target="https://business.purdue.edu/masters/programs/ms-business-analytics-and-information-management/home.php" TargetMode="External"/><Relationship Id="rId40" Type="http://schemas.openxmlformats.org/officeDocument/2006/relationships/hyperlink" Target="https://www.mccombs.utexas.edu/graduate/specialized-masters/ms-business-analytics/ms-business-analytics-on-campus/academics/curriculum/" TargetMode="External"/><Relationship Id="rId45" Type="http://schemas.openxmlformats.org/officeDocument/2006/relationships/hyperlink" Target="https://www.mccombs.utexas.edu/graduate/specialized-masters/ms-business-analytics/ms-business-analytics-online/" TargetMode="External"/><Relationship Id="rId66" Type="http://schemas.openxmlformats.org/officeDocument/2006/relationships/hyperlink" Target="https://www.analytics.gatech.edu/prospective-students" TargetMode="External"/><Relationship Id="rId87" Type="http://schemas.openxmlformats.org/officeDocument/2006/relationships/hyperlink" Target="https://www.anderson.ucla.edu/degrees/master-of-science-in-business-analytics/student-life" TargetMode="External"/><Relationship Id="rId61" Type="http://schemas.openxmlformats.org/officeDocument/2006/relationships/hyperlink" Target="https://www.analytics.gatech.edu/inside-our-program/reports-statistics" TargetMode="External"/><Relationship Id="rId82" Type="http://schemas.openxmlformats.org/officeDocument/2006/relationships/hyperlink" Target="https://www.anderson.ucla.edu/degrees/master-of-science-in-business-analytics/admissions/class-profile" TargetMode="External"/><Relationship Id="rId19" Type="http://schemas.openxmlformats.org/officeDocument/2006/relationships/hyperlink" Target="https://www.usnews.com/best-graduate-schools/top-business-schools/business-analytics-rankings?name=New%20York" TargetMode="External"/><Relationship Id="rId14" Type="http://schemas.openxmlformats.org/officeDocument/2006/relationships/hyperlink" Target="https://www.topuniversities.com/business-masters-rankings/business-analytics?countries=257&amp;search=USC" TargetMode="External"/><Relationship Id="rId30" Type="http://schemas.openxmlformats.org/officeDocument/2006/relationships/hyperlink" Target="https://business.purdue.edu/masters/student-experience/home.php" TargetMode="External"/><Relationship Id="rId35" Type="http://schemas.openxmlformats.org/officeDocument/2006/relationships/hyperlink" Target="https://www.mccombs.utexas.edu/graduate/specialized-masters/ms-business-analytics/ms-business-analytics-on-campus/admissions/class-stats/" TargetMode="External"/><Relationship Id="rId56" Type="http://schemas.openxmlformats.org/officeDocument/2006/relationships/hyperlink" Target="https://carlsonschool.umn.edu/experience/global-learning" TargetMode="External"/><Relationship Id="rId77" Type="http://schemas.openxmlformats.org/officeDocument/2006/relationships/hyperlink" Target="https://www.anderson.ucla.edu/degrees/master-of-science-in-business-analytics/admissions/class-profile" TargetMode="External"/><Relationship Id="rId100" Type="http://schemas.openxmlformats.org/officeDocument/2006/relationships/hyperlink" Target="https://stern.shanghai.nyu.edu/en/program/ms-data-analytics-business-computing/curriculum" TargetMode="External"/><Relationship Id="rId8" Type="http://schemas.openxmlformats.org/officeDocument/2006/relationships/hyperlink" Target="https://www.topuniversities.com/business-masters-rankings/business-analytics?countries=257&amp;search=Texas" TargetMode="External"/><Relationship Id="rId51" Type="http://schemas.openxmlformats.org/officeDocument/2006/relationships/hyperlink" Target="https://www.metromba.com/school/minnesota-carlson-school/minnesota-carlson-master-of-science-in-business-analytics/" TargetMode="External"/><Relationship Id="rId72" Type="http://schemas.openxmlformats.org/officeDocument/2006/relationships/hyperlink" Target="https://asuonline.asu.edu/online-degree-programs/graduate/master-science-business-analytics/" TargetMode="External"/><Relationship Id="rId93" Type="http://schemas.openxmlformats.org/officeDocument/2006/relationships/hyperlink" Target="https://www.marshall.usc.edu/trojan-network/career-services" TargetMode="External"/><Relationship Id="rId98" Type="http://schemas.openxmlformats.org/officeDocument/2006/relationships/hyperlink" Target="https://stern.shanghai.nyu.edu/en/program/ms-data-analytics-business-computing/curriculum" TargetMode="External"/><Relationship Id="rId3" Type="http://schemas.openxmlformats.org/officeDocument/2006/relationships/hyperlink" Target="https://www.analytics.gatech.edu/"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kelley.iu.edu/programs/ms-finance/life/index.html" TargetMode="External"/><Relationship Id="rId21" Type="http://schemas.openxmlformats.org/officeDocument/2006/relationships/hyperlink" Target="https://premium.usnews.com/best-graduate-schools/top-business-schools/finance-rankings?name=University%20of%20Southern%20California%20(Marshall)" TargetMode="External"/><Relationship Id="rId42" Type="http://schemas.openxmlformats.org/officeDocument/2006/relationships/hyperlink" Target="https://business.wisc.edu/graduate/masters/finance/curriculum/" TargetMode="External"/><Relationship Id="rId63" Type="http://schemas.openxmlformats.org/officeDocument/2006/relationships/hyperlink" Target="https://www.marshall.usc.edu/why-marshall/teaching-and-innovation/experiential-learning-center" TargetMode="External"/><Relationship Id="rId84" Type="http://schemas.openxmlformats.org/officeDocument/2006/relationships/hyperlink" Target="https://premium.usnews.com/best-graduate-schools/top-business-schools/boston-university-01108" TargetMode="External"/><Relationship Id="rId16" Type="http://schemas.openxmlformats.org/officeDocument/2006/relationships/hyperlink" Target="https://www.topuniversities.com/business-masters-rankings/finance" TargetMode="External"/><Relationship Id="rId107" Type="http://schemas.openxmlformats.org/officeDocument/2006/relationships/hyperlink" Target="https://carey.jhu.edu/student-experience/experiential-learning/experiential-co-curriculars" TargetMode="External"/><Relationship Id="rId11" Type="http://schemas.openxmlformats.org/officeDocument/2006/relationships/hyperlink" Target="https://www.topuniversities.com/business-masters-rankings/finance?search=indiana" TargetMode="External"/><Relationship Id="rId32" Type="http://schemas.openxmlformats.org/officeDocument/2006/relationships/hyperlink" Target="https://www.stern.nyu.edu/programs-admissions/full-time-mba/community/class-profile" TargetMode="External"/><Relationship Id="rId37" Type="http://schemas.openxmlformats.org/officeDocument/2006/relationships/hyperlink" Target="https://www.stern.nyu.edu/programs-admissions/masters-programs/ms-fintech/overview-academics/blended-learning-capstone" TargetMode="External"/><Relationship Id="rId53" Type="http://schemas.openxmlformats.org/officeDocument/2006/relationships/hyperlink" Target="https://rady.ucsd.edu/why/career-impact/career-coaching.html" TargetMode="External"/><Relationship Id="rId58" Type="http://schemas.openxmlformats.org/officeDocument/2006/relationships/hyperlink" Target="https://premium.usnews.com/best-graduate-schools/top-business-schools/ohio-state-university-columbus-01174" TargetMode="External"/><Relationship Id="rId74" Type="http://schemas.openxmlformats.org/officeDocument/2006/relationships/hyperlink" Target="https://www.bc.edu/bc-web/schools/carroll-school/graduate/ms-programs/ms-in-finance.html" TargetMode="External"/><Relationship Id="rId79" Type="http://schemas.openxmlformats.org/officeDocument/2006/relationships/hyperlink" Target="https://www.bu.edu/questrom/graduate-programs/experiential-learning/" TargetMode="External"/><Relationship Id="rId102" Type="http://schemas.openxmlformats.org/officeDocument/2006/relationships/hyperlink" Target="https://www.mccombs.utexas.edu/graduate/specialized-masters/ms-finance/" TargetMode="External"/><Relationship Id="rId123" Type="http://schemas.openxmlformats.org/officeDocument/2006/relationships/hyperlink" Target="https://giesbusiness.illinois.edu/experience/experiential-learning" TargetMode="External"/><Relationship Id="rId128" Type="http://schemas.openxmlformats.org/officeDocument/2006/relationships/hyperlink" Target="https://business.purdue.edu/masters/student-experience/home.php" TargetMode="External"/><Relationship Id="rId5" Type="http://schemas.openxmlformats.org/officeDocument/2006/relationships/hyperlink" Target="https://premium.usnews.com/best-graduate-schools/top-business-schools/finance-rankings?name=New%20York%20University%20(Stern)" TargetMode="External"/><Relationship Id="rId90" Type="http://schemas.openxmlformats.org/officeDocument/2006/relationships/hyperlink" Target="https://www.mccombs.utexas.edu/graduate/specialized-masters/ms-finance/student-experience/" TargetMode="External"/><Relationship Id="rId95" Type="http://schemas.openxmlformats.org/officeDocument/2006/relationships/hyperlink" Target="https://www.mccombs.utexas.edu/wp-content/uploads/2024/10/MSF-Fact-Sheet.pdf" TargetMode="External"/><Relationship Id="rId22" Type="http://schemas.openxmlformats.org/officeDocument/2006/relationships/hyperlink" Target="https://premium.usnews.com/best-graduate-schools/top-business-schools/finance-rankings?name=Cornell%20University%20(Johnson)" TargetMode="External"/><Relationship Id="rId27" Type="http://schemas.openxmlformats.org/officeDocument/2006/relationships/hyperlink" Target="https://www.best-masters.com/master-corporate-finance-ranking/north-america.html" TargetMode="External"/><Relationship Id="rId43" Type="http://schemas.openxmlformats.org/officeDocument/2006/relationships/hyperlink" Target="https://business.wisc.edu/graduate/masters/finance/careers/" TargetMode="External"/><Relationship Id="rId48" Type="http://schemas.openxmlformats.org/officeDocument/2006/relationships/hyperlink" Target="https://kelley.iu.edu/programs/ms-finance/index.html" TargetMode="External"/><Relationship Id="rId64" Type="http://schemas.openxmlformats.org/officeDocument/2006/relationships/hyperlink" Target="https://www.marshall.usc.edu/why-marshall/global-opportunities" TargetMode="External"/><Relationship Id="rId69" Type="http://schemas.openxmlformats.org/officeDocument/2006/relationships/hyperlink" Target="https://www.bc.edu/bc-web/offices/studentaffairs/sites/careers/sites/graduate-students.html" TargetMode="External"/><Relationship Id="rId113" Type="http://schemas.openxmlformats.org/officeDocument/2006/relationships/hyperlink" Target="https://rady.ucsd.edu/programs/master-quantitative-finance/academics/capstone.html" TargetMode="External"/><Relationship Id="rId118" Type="http://schemas.openxmlformats.org/officeDocument/2006/relationships/hyperlink" Target="https://kelley.iu.edu/programs/ms-finance/academics/curriculum/index.html" TargetMode="External"/><Relationship Id="rId134" Type="http://schemas.openxmlformats.org/officeDocument/2006/relationships/hyperlink" Target="https://fisher.osu.edu/graduate/smf" TargetMode="External"/><Relationship Id="rId80" Type="http://schemas.openxmlformats.org/officeDocument/2006/relationships/hyperlink" Target="https://www.bu.edu/questrom/graduate-programs/experiential-learning/" TargetMode="External"/><Relationship Id="rId85" Type="http://schemas.openxmlformats.org/officeDocument/2006/relationships/hyperlink" Target="https://premium.usnews.com/best-graduate-schools/top-business-schools/boston-university-01108" TargetMode="External"/><Relationship Id="rId12" Type="http://schemas.openxmlformats.org/officeDocument/2006/relationships/hyperlink" Target="https://fisher.osu.edu/academic-departments/department-finance/programs/specialized-master-finance" TargetMode="External"/><Relationship Id="rId17" Type="http://schemas.openxmlformats.org/officeDocument/2006/relationships/hyperlink" Target="https://www.topuniversities.com/business-masters-rankings/finance" TargetMode="External"/><Relationship Id="rId33" Type="http://schemas.openxmlformats.org/officeDocument/2006/relationships/hyperlink" Target="https://www.topuniversities.com/business-masters-rankings/finance?search=Ohio" TargetMode="External"/><Relationship Id="rId38" Type="http://schemas.openxmlformats.org/officeDocument/2006/relationships/hyperlink" Target="https://www.stern.nyu.edu/programs-admissions/masters-programs/ms-fintech/global-network" TargetMode="External"/><Relationship Id="rId59" Type="http://schemas.openxmlformats.org/officeDocument/2006/relationships/hyperlink" Target="https://premium.usnews.com/best-graduate-schools/top-business-schools/ohio-state-university-columbus-01174" TargetMode="External"/><Relationship Id="rId103" Type="http://schemas.openxmlformats.org/officeDocument/2006/relationships/hyperlink" Target="https://carey.jhu.edu/student-experience/career-life-design" TargetMode="External"/><Relationship Id="rId108" Type="http://schemas.openxmlformats.org/officeDocument/2006/relationships/hyperlink" Target="https://carey.jhu.edu/programs/master-science-programs/ms-finance-full-time" TargetMode="External"/><Relationship Id="rId124" Type="http://schemas.openxmlformats.org/officeDocument/2006/relationships/hyperlink" Target="https://giesbusiness.illinois.edu/msf/curriculum" TargetMode="External"/><Relationship Id="rId129" Type="http://schemas.openxmlformats.org/officeDocument/2006/relationships/hyperlink" Target="https://business.purdue.edu/masters/student-experience/home.php" TargetMode="External"/><Relationship Id="rId54" Type="http://schemas.openxmlformats.org/officeDocument/2006/relationships/hyperlink" Target="https://rady.ucsd.edu/why/students/index.html" TargetMode="External"/><Relationship Id="rId70" Type="http://schemas.openxmlformats.org/officeDocument/2006/relationships/hyperlink" Target="https://www.bc.edu/bc-web/schools/carroll-school/graduate/mba/applied-learning.html" TargetMode="External"/><Relationship Id="rId75" Type="http://schemas.openxmlformats.org/officeDocument/2006/relationships/hyperlink" Target="https://www.bc.edu/bc-web/schools/carroll-school/graduate/ms-programs/ms-in-finance.html" TargetMode="External"/><Relationship Id="rId91" Type="http://schemas.openxmlformats.org/officeDocument/2006/relationships/hyperlink" Target="https://www.mccombs.utexas.edu/graduate/mba/full-time-mba/student-experience/student-organizations/" TargetMode="External"/><Relationship Id="rId96" Type="http://schemas.openxmlformats.org/officeDocument/2006/relationships/hyperlink" Target="https://www.mccombs.utexas.edu/wp-content/uploads/2024/10/MSF-Fact-Sheet.pdf" TargetMode="External"/><Relationship Id="rId1" Type="http://schemas.openxmlformats.org/officeDocument/2006/relationships/hyperlink" Target="https://giesbusiness.illinois.edu/experience/career-professional-development" TargetMode="External"/><Relationship Id="rId6" Type="http://schemas.openxmlformats.org/officeDocument/2006/relationships/hyperlink" Target="https://fisher.osu.edu/global-opportunities/" TargetMode="External"/><Relationship Id="rId23" Type="http://schemas.openxmlformats.org/officeDocument/2006/relationships/hyperlink" Target="https://premium.usnews.com/best-graduate-schools/top-business-schools/finance-rankings?name=University%20of%20Texas--Austin%20(McCombs)" TargetMode="External"/><Relationship Id="rId28" Type="http://schemas.openxmlformats.org/officeDocument/2006/relationships/hyperlink" Target="https://www.best-masters.com/master-corporate-finance-ranking/north-america.html" TargetMode="External"/><Relationship Id="rId49" Type="http://schemas.openxmlformats.org/officeDocument/2006/relationships/hyperlink" Target="https://www.engineering.cornell.edu/selander-center-engineering-leadership/professional-coaching/" TargetMode="External"/><Relationship Id="rId114" Type="http://schemas.openxmlformats.org/officeDocument/2006/relationships/hyperlink" Target="https://rady.ucsd.edu/programs/master-quantitative-finance/academics/index.html" TargetMode="External"/><Relationship Id="rId119" Type="http://schemas.openxmlformats.org/officeDocument/2006/relationships/hyperlink" Target="https://giesbusiness.illinois.edu/experience/career-professional-development" TargetMode="External"/><Relationship Id="rId44" Type="http://schemas.openxmlformats.org/officeDocument/2006/relationships/hyperlink" Target="https://business.wisc.edu/graduate/masters/finance/" TargetMode="External"/><Relationship Id="rId60" Type="http://schemas.openxmlformats.org/officeDocument/2006/relationships/hyperlink" Target="https://premium.usnews.com/best-graduate-schools/top-business-schools/university-of-southern-california-01034" TargetMode="External"/><Relationship Id="rId65" Type="http://schemas.openxmlformats.org/officeDocument/2006/relationships/hyperlink" Target="https://www.marshall.usc.edu/programs/graduate-programs/specialized-masters/ms-finance" TargetMode="External"/><Relationship Id="rId81" Type="http://schemas.openxmlformats.org/officeDocument/2006/relationships/hyperlink" Target="https://www.bu.edu/questrom/graduate-programs/experiential-learning/" TargetMode="External"/><Relationship Id="rId86" Type="http://schemas.openxmlformats.org/officeDocument/2006/relationships/hyperlink" Target="https://www.bu.edu/questrom/graduate-programs/specialty-masters-programs/ms-in-finance/" TargetMode="External"/><Relationship Id="rId130" Type="http://schemas.openxmlformats.org/officeDocument/2006/relationships/hyperlink" Target="https://business.purdue.edu/masters/programs/ms-finance/curriculum.php" TargetMode="External"/><Relationship Id="rId135" Type="http://schemas.openxmlformats.org/officeDocument/2006/relationships/hyperlink" Target="https://academics.iu.edu/degrees/bloomington/master-of-science-in-finance.html" TargetMode="External"/><Relationship Id="rId13" Type="http://schemas.openxmlformats.org/officeDocument/2006/relationships/hyperlink" Target="https://www.topuniversities.com/business-masters-rankings/finance?items_per_page=150" TargetMode="External"/><Relationship Id="rId18" Type="http://schemas.openxmlformats.org/officeDocument/2006/relationships/hyperlink" Target="https://www.topuniversities.com/business-masters-rankings/finance" TargetMode="External"/><Relationship Id="rId39" Type="http://schemas.openxmlformats.org/officeDocument/2006/relationships/hyperlink" Target="https://www.stern.nyu.edu/programs-admissions/masters-programs/ms-fintech/overview-academics/course-index" TargetMode="External"/><Relationship Id="rId109" Type="http://schemas.openxmlformats.org/officeDocument/2006/relationships/hyperlink" Target="https://carey.jhu.edu/programs/master-science-programs/ms-finance-full-time" TargetMode="External"/><Relationship Id="rId34" Type="http://schemas.openxmlformats.org/officeDocument/2006/relationships/hyperlink" Target="https://www.stern.nyu.edu/programs-admissions/masters-programs/ms-fintech/overview-academics/format-and-schedule" TargetMode="External"/><Relationship Id="rId50" Type="http://schemas.openxmlformats.org/officeDocument/2006/relationships/hyperlink" Target="https://www.engineering.cornell.edu/orie/meng/financial-engineering-concentration/student-experience/" TargetMode="External"/><Relationship Id="rId55" Type="http://schemas.openxmlformats.org/officeDocument/2006/relationships/hyperlink" Target="https://premium.usnews.com/best-graduate-schools/top-business-schools/ohio-state-university-columbus-01174" TargetMode="External"/><Relationship Id="rId76" Type="http://schemas.openxmlformats.org/officeDocument/2006/relationships/hyperlink" Target="https://www.bc.edu/bc-web/schools/carroll-school/graduate/ms-programs/ms-in-finance.html" TargetMode="External"/><Relationship Id="rId97" Type="http://schemas.openxmlformats.org/officeDocument/2006/relationships/hyperlink" Target="https://www.mccombs.utexas.edu/wp-content/uploads/2024/10/MSF-Fact-Sheet.pdf" TargetMode="External"/><Relationship Id="rId104" Type="http://schemas.openxmlformats.org/officeDocument/2006/relationships/hyperlink" Target="https://carey.jhu.edu/student-experience/experiential-learning/experiential-co-curriculars" TargetMode="External"/><Relationship Id="rId120" Type="http://schemas.openxmlformats.org/officeDocument/2006/relationships/hyperlink" Target="https://giesbusiness.illinois.edu/experience/gies-global-programs" TargetMode="External"/><Relationship Id="rId125" Type="http://schemas.openxmlformats.org/officeDocument/2006/relationships/hyperlink" Target="https://business.purdue.edu/masters/programs/ms-finance/student-experience/home.php" TargetMode="External"/><Relationship Id="rId7" Type="http://schemas.openxmlformats.org/officeDocument/2006/relationships/hyperlink" Target="https://fisher.osu.edu/global-opportunities/" TargetMode="External"/><Relationship Id="rId71" Type="http://schemas.openxmlformats.org/officeDocument/2006/relationships/hyperlink" Target="https://www.bc.edu/bc-web/sites/global-engagement/sites/office-of-global-education/summer-abroad/getting-started.html" TargetMode="External"/><Relationship Id="rId92" Type="http://schemas.openxmlformats.org/officeDocument/2006/relationships/hyperlink" Target="https://www.mccombs.utexas.edu/wp-content/uploads/2024/10/MSF-Fact-Sheet.pdf" TargetMode="External"/><Relationship Id="rId2" Type="http://schemas.openxmlformats.org/officeDocument/2006/relationships/hyperlink" Target="https://business.purdue.edu/masters/programs/ms-finance/student-experience/home.php" TargetMode="External"/><Relationship Id="rId29" Type="http://schemas.openxmlformats.org/officeDocument/2006/relationships/hyperlink" Target="https://www.best-masters.com/master-corporate-finance-ranking/north-america.html" TargetMode="External"/><Relationship Id="rId24" Type="http://schemas.openxmlformats.org/officeDocument/2006/relationships/hyperlink" Target="https://premium.usnews.com/best-graduate-schools/top-business-schools/finance-rankings?name=New%20York%20University%20(Stern)" TargetMode="External"/><Relationship Id="rId40" Type="http://schemas.openxmlformats.org/officeDocument/2006/relationships/hyperlink" Target="https://stern.shanghai.nyu.edu/en/program/ms-quantitative-finance" TargetMode="External"/><Relationship Id="rId45" Type="http://schemas.openxmlformats.org/officeDocument/2006/relationships/hyperlink" Target="https://www.engineering.cornell.edu/study-abroad/" TargetMode="External"/><Relationship Id="rId66" Type="http://schemas.openxmlformats.org/officeDocument/2006/relationships/hyperlink" Target="https://www.marshall.usc.edu/programs/graduate-programs/specialized-masters/ms-finance" TargetMode="External"/><Relationship Id="rId87" Type="http://schemas.openxmlformats.org/officeDocument/2006/relationships/hyperlink" Target="https://www.mccombs.utexas.edu/alumni/new-york/wsfm-leadership-program/" TargetMode="External"/><Relationship Id="rId110" Type="http://schemas.openxmlformats.org/officeDocument/2006/relationships/hyperlink" Target="https://carey.jhu.edu/programs/master-science-programs/ms-finance-full-time" TargetMode="External"/><Relationship Id="rId115" Type="http://schemas.openxmlformats.org/officeDocument/2006/relationships/hyperlink" Target="https://rady.ucsd.edu/programs/master-quantitative-finance/academics/core.html" TargetMode="External"/><Relationship Id="rId131" Type="http://schemas.openxmlformats.org/officeDocument/2006/relationships/hyperlink" Target="https://business.purdue.edu/masters/programs/ms-finance/home.php" TargetMode="External"/><Relationship Id="rId136" Type="http://schemas.openxmlformats.org/officeDocument/2006/relationships/hyperlink" Target="https://giesbusiness.illinois.edu/msf" TargetMode="External"/><Relationship Id="rId61" Type="http://schemas.openxmlformats.org/officeDocument/2006/relationships/hyperlink" Target="https://premium.usnews.com/best-graduate-schools/top-business-schools/university-of-southern-california-01034" TargetMode="External"/><Relationship Id="rId82" Type="http://schemas.openxmlformats.org/officeDocument/2006/relationships/hyperlink" Target="https://www.bu.edu/questrom/graduate-programs/specialty-masters-programs/ms-in-finance/curriculum/" TargetMode="External"/><Relationship Id="rId19" Type="http://schemas.openxmlformats.org/officeDocument/2006/relationships/hyperlink" Target="https://premium.usnews.com/best-graduate-schools/top-business-schools/finance-rankings?name=Ohio%20State%20University%20(Fisher)" TargetMode="External"/><Relationship Id="rId14" Type="http://schemas.openxmlformats.org/officeDocument/2006/relationships/hyperlink" Target="https://www.topuniversities.com/business-masters-rankings/finance?items_per_page=150" TargetMode="External"/><Relationship Id="rId30" Type="http://schemas.openxmlformats.org/officeDocument/2006/relationships/hyperlink" Target="https://www.best-masters.com/master-corporate-finance-ranking/north-america.html" TargetMode="External"/><Relationship Id="rId35" Type="http://schemas.openxmlformats.org/officeDocument/2006/relationships/hyperlink" Target="https://www.stern.nyu.edu/programs-admissions/masters-programs/ms-fintech/overview-academics/comprehensive-student-support" TargetMode="External"/><Relationship Id="rId56" Type="http://schemas.openxmlformats.org/officeDocument/2006/relationships/hyperlink" Target="https://fisher.osu.edu/graduate/smf" TargetMode="External"/><Relationship Id="rId77" Type="http://schemas.openxmlformats.org/officeDocument/2006/relationships/hyperlink" Target="https://www.bu.edu/questrom/graduate-programs/specialty-masters-programs/ms-in-finance/careers/" TargetMode="External"/><Relationship Id="rId100" Type="http://schemas.openxmlformats.org/officeDocument/2006/relationships/hyperlink" Target="https://www.mccombs.utexas.edu/graduate/specialized-masters/ms-finance/academics/curriculum/" TargetMode="External"/><Relationship Id="rId105" Type="http://schemas.openxmlformats.org/officeDocument/2006/relationships/hyperlink" Target="https://imagine.jhu.edu/blog/2025/09/02/mba-finance-trek-nyc-2025/" TargetMode="External"/><Relationship Id="rId126" Type="http://schemas.openxmlformats.org/officeDocument/2006/relationships/hyperlink" Target="https://business.purdue.edu/masters/programs/ms-finance/student-experience/home.php" TargetMode="External"/><Relationship Id="rId8" Type="http://schemas.openxmlformats.org/officeDocument/2006/relationships/hyperlink" Target="https://bursar.cornell.edu/students-parents/tuition-rates-and-fees" TargetMode="External"/><Relationship Id="rId51" Type="http://schemas.openxmlformats.org/officeDocument/2006/relationships/hyperlink" Target="https://www.engineering.cornell.edu/orie/meng/financial-engineering-concentration/" TargetMode="External"/><Relationship Id="rId72" Type="http://schemas.openxmlformats.org/officeDocument/2006/relationships/hyperlink" Target="https://www.bc.edu/bc-web/sites/global-engagement/sites/office-of-global-education/summer-abroad/getting-started.html" TargetMode="External"/><Relationship Id="rId93" Type="http://schemas.openxmlformats.org/officeDocument/2006/relationships/hyperlink" Target="https://www.mccombs.utexas.edu/wp-content/uploads/2025/03/2023-24-MSF-Employment-Report-.pdf" TargetMode="External"/><Relationship Id="rId98" Type="http://schemas.openxmlformats.org/officeDocument/2006/relationships/hyperlink" Target="https://www.mccombs.utexas.edu/graduate/specialized-masters/ms-finance/career-management/" TargetMode="External"/><Relationship Id="rId121" Type="http://schemas.openxmlformats.org/officeDocument/2006/relationships/hyperlink" Target="https://giesbusiness.illinois.edu/experience/student-organizations" TargetMode="External"/><Relationship Id="rId3" Type="http://schemas.openxmlformats.org/officeDocument/2006/relationships/hyperlink" Target="https://fisher.osu.edu/graduate/smf/academics/program-structure" TargetMode="External"/><Relationship Id="rId25" Type="http://schemas.openxmlformats.org/officeDocument/2006/relationships/hyperlink" Target="https://www.best-masters.com/master-corporate-finance-ranking/north-america.html" TargetMode="External"/><Relationship Id="rId46" Type="http://schemas.openxmlformats.org/officeDocument/2006/relationships/hyperlink" Target="https://www.engineering.cornell.edu/orie/meng/financial-engineering-concentration/student-experience/" TargetMode="External"/><Relationship Id="rId67" Type="http://schemas.openxmlformats.org/officeDocument/2006/relationships/hyperlink" Target="https://www.marshall.usc.edu/trojan-network/student-organizations" TargetMode="External"/><Relationship Id="rId116" Type="http://schemas.openxmlformats.org/officeDocument/2006/relationships/hyperlink" Target="https://kelley.iu.edu/programs/ms-finance/index.html" TargetMode="External"/><Relationship Id="rId20" Type="http://schemas.openxmlformats.org/officeDocument/2006/relationships/hyperlink" Target="https://premium.usnews.com/best-graduate-schools/top-business-schools/finance-rankings?name=Indiana%20University%20(Kelley)" TargetMode="External"/><Relationship Id="rId41" Type="http://schemas.openxmlformats.org/officeDocument/2006/relationships/hyperlink" Target="https://premium.usnews.com/best-graduate-schools/top-business-schools/university-of-wisconsin-madison-01245" TargetMode="External"/><Relationship Id="rId62" Type="http://schemas.openxmlformats.org/officeDocument/2006/relationships/hyperlink" Target="https://www.marshall.usc.edu/trojan-network/recruiting/graduate" TargetMode="External"/><Relationship Id="rId83" Type="http://schemas.openxmlformats.org/officeDocument/2006/relationships/hyperlink" Target="https://premium.usnews.com/best-graduate-schools/top-business-schools/boston-university-01108" TargetMode="External"/><Relationship Id="rId88" Type="http://schemas.openxmlformats.org/officeDocument/2006/relationships/hyperlink" Target="https://premium.usnews.com/best-graduate-schools/top-business-schools/the-university-of-texas-at-austin-01222" TargetMode="External"/><Relationship Id="rId111" Type="http://schemas.openxmlformats.org/officeDocument/2006/relationships/hyperlink" Target="https://carey.jhu.edu/programs/master-science-programs/ms-finance-full-time" TargetMode="External"/><Relationship Id="rId132" Type="http://schemas.openxmlformats.org/officeDocument/2006/relationships/hyperlink" Target="https://rady.ucsd.edu/programs/master-quantitative-finance/index.html" TargetMode="External"/><Relationship Id="rId15" Type="http://schemas.openxmlformats.org/officeDocument/2006/relationships/hyperlink" Target="https://www.topuniversities.com/business-masters-rankings/finance?items_per_page=150" TargetMode="External"/><Relationship Id="rId36" Type="http://schemas.openxmlformats.org/officeDocument/2006/relationships/hyperlink" Target="https://www.stern.nyu.edu/programs-admissions/full-time-mba/academics/experiential-learning" TargetMode="External"/><Relationship Id="rId57" Type="http://schemas.openxmlformats.org/officeDocument/2006/relationships/hyperlink" Target="https://rady.ucsd.edu/programs/master-quantitative-finance/academics/core.html" TargetMode="External"/><Relationship Id="rId106" Type="http://schemas.openxmlformats.org/officeDocument/2006/relationships/hyperlink" Target="https://carey.jhu.edu/student-experience/experiential-learning/experiential-courses/global-immersion-program" TargetMode="External"/><Relationship Id="rId127" Type="http://schemas.openxmlformats.org/officeDocument/2006/relationships/hyperlink" Target="https://business.purdue.edu/masters/student-experience/home.php" TargetMode="External"/><Relationship Id="rId10" Type="http://schemas.openxmlformats.org/officeDocument/2006/relationships/hyperlink" Target="https://www.topuniversities.com/business-masters-rankings/finance?search=texas" TargetMode="External"/><Relationship Id="rId31" Type="http://schemas.openxmlformats.org/officeDocument/2006/relationships/hyperlink" Target="https://www.best-masters.com/master-corporate-finance-ranking/north-america.html" TargetMode="External"/><Relationship Id="rId52" Type="http://schemas.openxmlformats.org/officeDocument/2006/relationships/hyperlink" Target="https://fas.ucsd.edu/cost-of-attendance/graduate-students/graduates_2025-2026.html" TargetMode="External"/><Relationship Id="rId73" Type="http://schemas.openxmlformats.org/officeDocument/2006/relationships/hyperlink" Target="https://www.bc.edu/bc-web/schools/carroll-school/graduate/community-and-student-life.html" TargetMode="External"/><Relationship Id="rId78" Type="http://schemas.openxmlformats.org/officeDocument/2006/relationships/hyperlink" Target="https://www.bu.edu/grad/videos/internships/" TargetMode="External"/><Relationship Id="rId94" Type="http://schemas.openxmlformats.org/officeDocument/2006/relationships/hyperlink" Target="https://live-red-mccombs-school-of-business.pantheonsite.io/wp-content/uploads/2025/08/MSF-Fact-Sheet-2025.pdf" TargetMode="External"/><Relationship Id="rId99" Type="http://schemas.openxmlformats.org/officeDocument/2006/relationships/hyperlink" Target="https://www.mccombs.utexas.edu/graduate/specialized-masters/ms-finance/academics/curriculum/" TargetMode="External"/><Relationship Id="rId101" Type="http://schemas.openxmlformats.org/officeDocument/2006/relationships/hyperlink" Target="https://www.mccombs.utexas.edu/graduate/specialized-masters/ms-finance/academics/curriculum/" TargetMode="External"/><Relationship Id="rId122" Type="http://schemas.openxmlformats.org/officeDocument/2006/relationships/hyperlink" Target="https://giesbusiness.illinois.edu/experience/gies-global-programs" TargetMode="External"/><Relationship Id="rId4" Type="http://schemas.openxmlformats.org/officeDocument/2006/relationships/hyperlink" Target="https://premium.usnews.com/best-graduate-schools/top-business-schools/ohio-state-university-columbus-01174" TargetMode="External"/><Relationship Id="rId9" Type="http://schemas.openxmlformats.org/officeDocument/2006/relationships/hyperlink" Target="https://bursar.cornell.edu/students-parents/tuition-rates-and-fees" TargetMode="External"/><Relationship Id="rId26" Type="http://schemas.openxmlformats.org/officeDocument/2006/relationships/hyperlink" Target="https://www.best-masters.com/master-corporate-finance-ranking/north-america.html" TargetMode="External"/><Relationship Id="rId47" Type="http://schemas.openxmlformats.org/officeDocument/2006/relationships/hyperlink" Target="https://kelley.iu.edu/programs/online/careers/index.html" TargetMode="External"/><Relationship Id="rId68" Type="http://schemas.openxmlformats.org/officeDocument/2006/relationships/hyperlink" Target="https://www.marshall.usc.edu/programs/graduate-programs/specialized-masters/ms-finance" TargetMode="External"/><Relationship Id="rId89" Type="http://schemas.openxmlformats.org/officeDocument/2006/relationships/hyperlink" Target="https://premium.usnews.com/best-graduate-schools/top-business-schools/the-university-of-texas-at-austin-01222" TargetMode="External"/><Relationship Id="rId112" Type="http://schemas.openxmlformats.org/officeDocument/2006/relationships/hyperlink" Target="https://business.wisc.edu/graduate/masters/finance/curriculum/" TargetMode="External"/><Relationship Id="rId133" Type="http://schemas.openxmlformats.org/officeDocument/2006/relationships/hyperlink" Target="https://business.wisc.edu/graduate/masters/finance/"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sc.edu/study/majors_and_degrees/human-resources-mhr.php" TargetMode="External"/><Relationship Id="rId21" Type="http://schemas.openxmlformats.org/officeDocument/2006/relationships/hyperlink" Target="https://premium.usnews.com/best-graduate-schools/top-business-schools/university-of-south-carolina-01199" TargetMode="External"/><Relationship Id="rId34" Type="http://schemas.openxmlformats.org/officeDocument/2006/relationships/hyperlink" Target="https://carlsonschool.umn.edu/graduate/masters/human-resources-industrial-relations/admissions/class-profile" TargetMode="External"/><Relationship Id="rId42" Type="http://schemas.openxmlformats.org/officeDocument/2006/relationships/hyperlink" Target="https://mays.tamu.edu/graduate/masters/ms-programs/human-resource-management/" TargetMode="External"/><Relationship Id="rId47" Type="http://schemas.openxmlformats.org/officeDocument/2006/relationships/hyperlink" Target="https://fisher.osu.edu/graduate/mhrm/academics/curriculum" TargetMode="External"/><Relationship Id="rId50" Type="http://schemas.openxmlformats.org/officeDocument/2006/relationships/hyperlink" Target="https://gpadmissions.osu.edu/programs/program.aspx?prog=0124" TargetMode="External"/><Relationship Id="rId55" Type="http://schemas.openxmlformats.org/officeDocument/2006/relationships/hyperlink" Target="https://smlr.rutgers.edu/academic-programs/graduate-programs/masters-human-resource-management-mhrm" TargetMode="External"/><Relationship Id="rId63" Type="http://schemas.openxmlformats.org/officeDocument/2006/relationships/hyperlink" Target="https://business.purdue.edu/masters/programs/ms-human-resource-management/fact-sheet-mshrm.pdf" TargetMode="External"/><Relationship Id="rId7" Type="http://schemas.openxmlformats.org/officeDocument/2006/relationships/hyperlink" Target="https://business.purdue.edu/masters/programs/ms-human-resource-management/home.php" TargetMode="External"/><Relationship Id="rId2" Type="http://schemas.openxmlformats.org/officeDocument/2006/relationships/hyperlink" Target="https://carlsonschool.umn.edu/graduate/masters/human-resources-industrial-relations" TargetMode="External"/><Relationship Id="rId16" Type="http://schemas.openxmlformats.org/officeDocument/2006/relationships/hyperlink" Target="https://www.purdue.edu/IPPU/SA/" TargetMode="External"/><Relationship Id="rId29" Type="http://schemas.openxmlformats.org/officeDocument/2006/relationships/hyperlink" Target="https://ler.illinois.edu/wp-content/uploads/2024/08/LER_MHRIR_On-Campus_Outcomes_2024.pdf" TargetMode="External"/><Relationship Id="rId11" Type="http://schemas.openxmlformats.org/officeDocument/2006/relationships/hyperlink" Target="https://www.sc.edu/study/colleges_schools/moore/study/human_resources/degree_programs/master_of_human_resources/frequently_asked_questions/index.php" TargetMode="External"/><Relationship Id="rId24" Type="http://schemas.openxmlformats.org/officeDocument/2006/relationships/hyperlink" Target="https://www.sc.edu/study/colleges_schools/moore/study/human_resources/degree_programs/master_of_human_resources/job_placement/index.php" TargetMode="External"/><Relationship Id="rId32" Type="http://schemas.openxmlformats.org/officeDocument/2006/relationships/hyperlink" Target="https://www.careercenter.illinois.edu/services/careercoaching" TargetMode="External"/><Relationship Id="rId37" Type="http://schemas.openxmlformats.org/officeDocument/2006/relationships/hyperlink" Target="https://carlsonschool.umn.edu/graduate/masters/human-resources-industrial-relations/admissions/faq" TargetMode="External"/><Relationship Id="rId40" Type="http://schemas.openxmlformats.org/officeDocument/2006/relationships/hyperlink" Target="https://carlsonschool.umn.edu/career-services/graduate" TargetMode="External"/><Relationship Id="rId45" Type="http://schemas.openxmlformats.org/officeDocument/2006/relationships/hyperlink" Target="https://premium.usnews.com/best-graduate-schools/top-business-schools/ohio-state-university-columbus-01174" TargetMode="External"/><Relationship Id="rId53" Type="http://schemas.openxmlformats.org/officeDocument/2006/relationships/hyperlink" Target="https://smlr.rutgers.edu/academic-programs/graduate-programs/masters-human-resource-management-mhrm" TargetMode="External"/><Relationship Id="rId58" Type="http://schemas.openxmlformats.org/officeDocument/2006/relationships/hyperlink" Target="https://grad.rutgers.edu/professional-development/careers" TargetMode="External"/><Relationship Id="rId66" Type="http://schemas.openxmlformats.org/officeDocument/2006/relationships/comments" Target="../comments4.xml"/><Relationship Id="rId5" Type="http://schemas.openxmlformats.org/officeDocument/2006/relationships/hyperlink" Target="https://smlr.rutgers.edu/academic-programs/graduate-programs/masters-human-resource-management-mhrm" TargetMode="External"/><Relationship Id="rId61" Type="http://schemas.openxmlformats.org/officeDocument/2006/relationships/hyperlink" Target="https://ler.illinois.edu/our-programs/human-resources-masters/degree-requirements/" TargetMode="External"/><Relationship Id="rId19" Type="http://schemas.openxmlformats.org/officeDocument/2006/relationships/hyperlink" Target="https://business.purdue.edu/masters/programs/ms-human-resource-management/career-outcomes.php" TargetMode="External"/><Relationship Id="rId14" Type="http://schemas.openxmlformats.org/officeDocument/2006/relationships/hyperlink" Target="https://business.purdue.edu/masters/programs/ms-human-resource-management/fact-sheet-mshrm.pdf" TargetMode="External"/><Relationship Id="rId22" Type="http://schemas.openxmlformats.org/officeDocument/2006/relationships/hyperlink" Target="https://premium.usnews.com/best-graduate-schools/top-business-schools/university-of-south-carolina-01199" TargetMode="External"/><Relationship Id="rId27" Type="http://schemas.openxmlformats.org/officeDocument/2006/relationships/hyperlink" Target="https://sc.edu/study/colleges_schools/moore/talent_recruiting/office_of_career_management/student_resources/remove/graduate/" TargetMode="External"/><Relationship Id="rId30" Type="http://schemas.openxmlformats.org/officeDocument/2006/relationships/hyperlink" Target="https://ler.illinois.edu/our-programs/human-resources-masters/" TargetMode="External"/><Relationship Id="rId35" Type="http://schemas.openxmlformats.org/officeDocument/2006/relationships/hyperlink" Target="https://carlsonschool.umn.edu/graduate/masters/human-resources-industrial-relations/admissions/class-profile" TargetMode="External"/><Relationship Id="rId43" Type="http://schemas.openxmlformats.org/officeDocument/2006/relationships/hyperlink" Target="https://mays.tamu.edu/graduate/masters/ms-programs/human-resource-management/" TargetMode="External"/><Relationship Id="rId48" Type="http://schemas.openxmlformats.org/officeDocument/2006/relationships/hyperlink" Target="https://fisher.osu.edu/graduate/mhrm" TargetMode="External"/><Relationship Id="rId56" Type="http://schemas.openxmlformats.org/officeDocument/2006/relationships/hyperlink" Target="https://smlr.rutgers.edu/academic-programs/graduate-programs/masters-human-resource-management/courses" TargetMode="External"/><Relationship Id="rId64" Type="http://schemas.openxmlformats.org/officeDocument/2006/relationships/hyperlink" Target="https://sc.edu/study/majors_and_degrees/human-resources-mhr.php" TargetMode="External"/><Relationship Id="rId8" Type="http://schemas.openxmlformats.org/officeDocument/2006/relationships/hyperlink" Target="https://www.sc.edu/study/colleges_schools/moore/study/human_resources/degree_programs/master_of_human_resources/images_docs/031524_mhrbrochure_web.pdf" TargetMode="External"/><Relationship Id="rId51" Type="http://schemas.openxmlformats.org/officeDocument/2006/relationships/hyperlink" Target="https://www.best-masters.com/master-human-resources-management-ranking/master-of-human-resource-management-the-ohio-state-university-fisher-college-of-business.html" TargetMode="External"/><Relationship Id="rId3" Type="http://schemas.openxmlformats.org/officeDocument/2006/relationships/hyperlink" Target="https://mays.tamu.edu/graduate/masters/ms-programs/human-resource-management/" TargetMode="External"/><Relationship Id="rId12" Type="http://schemas.openxmlformats.org/officeDocument/2006/relationships/hyperlink" Target="https://www.sc.edu/study/colleges_schools/moore/study/human_resources/degree_programs/master_of_human_resources/frequently_asked_questions/index.php" TargetMode="External"/><Relationship Id="rId17" Type="http://schemas.openxmlformats.org/officeDocument/2006/relationships/hyperlink" Target="https://business.purdue.edu/masters/student-experience/home.php" TargetMode="External"/><Relationship Id="rId25" Type="http://schemas.openxmlformats.org/officeDocument/2006/relationships/hyperlink" Target="https://sc.edu/study/colleges_schools/moore/research_and_centers/centers/riegel_and_emory_human_resources_center/index.php" TargetMode="External"/><Relationship Id="rId33" Type="http://schemas.openxmlformats.org/officeDocument/2006/relationships/hyperlink" Target="https://carlsonschool.umn.edu/graduate/masters/human-resources-industrial-relations/curriculum" TargetMode="External"/><Relationship Id="rId38" Type="http://schemas.openxmlformats.org/officeDocument/2006/relationships/hyperlink" Target="https://carlsonschool.umn.edu/centers-institutes/carlson-global-institute/education-abroad" TargetMode="External"/><Relationship Id="rId46" Type="http://schemas.openxmlformats.org/officeDocument/2006/relationships/hyperlink" Target="https://fisher.osu.edu/graduate/mhrm" TargetMode="External"/><Relationship Id="rId59" Type="http://schemas.openxmlformats.org/officeDocument/2006/relationships/hyperlink" Target="https://smlr.rutgers.edu/academic-programs/graduate-programs/masters-human-resource-management/mhrm-application-process" TargetMode="External"/><Relationship Id="rId67" Type="http://schemas.microsoft.com/office/2017/10/relationships/threadedComment" Target="../threadedComments/threadedComment4.xml"/><Relationship Id="rId20" Type="http://schemas.openxmlformats.org/officeDocument/2006/relationships/hyperlink" Target="https://best-masters.com/master-human-resources-management-ranking/master-of-human-resources-university-of-south-carolina-darla-moore-school-of-business.html" TargetMode="External"/><Relationship Id="rId41" Type="http://schemas.openxmlformats.org/officeDocument/2006/relationships/hyperlink" Target="https://www.best-masters.com/master-human-resources-management-ranking/master-of-arts-in-human-resources-and-industrial-relations-university-of-minnesota-curtis-l-carlson-school-of-management.html" TargetMode="External"/><Relationship Id="rId54" Type="http://schemas.openxmlformats.org/officeDocument/2006/relationships/hyperlink" Target="https://smlr.rutgers.edu/academic-programs/graduate-programs/masters-human-resource-management-mhrm" TargetMode="External"/><Relationship Id="rId62" Type="http://schemas.openxmlformats.org/officeDocument/2006/relationships/hyperlink" Target="https://business.purdue.edu/careers/graduate/" TargetMode="External"/><Relationship Id="rId1" Type="http://schemas.openxmlformats.org/officeDocument/2006/relationships/hyperlink" Target="https://ler.illinois.edu/our-programs/human-resources-masters/" TargetMode="External"/><Relationship Id="rId6" Type="http://schemas.openxmlformats.org/officeDocument/2006/relationships/hyperlink" Target="https://www.sc.edu/study/colleges_schools/moore/study/human_resources/degree_programs/master_of_human_resources/index.php" TargetMode="External"/><Relationship Id="rId15" Type="http://schemas.openxmlformats.org/officeDocument/2006/relationships/hyperlink" Target="https://business.purdue.edu/masters/student-experience/home.php" TargetMode="External"/><Relationship Id="rId23" Type="http://schemas.openxmlformats.org/officeDocument/2006/relationships/hyperlink" Target="https://premium.usnews.com/best-graduate-schools/top-business-schools/university-of-south-carolina-01199" TargetMode="External"/><Relationship Id="rId28" Type="http://schemas.openxmlformats.org/officeDocument/2006/relationships/hyperlink" Target="https://ler.illinois.edu/our-programs/human-resources-masters/" TargetMode="External"/><Relationship Id="rId36" Type="http://schemas.openxmlformats.org/officeDocument/2006/relationships/hyperlink" Target="https://carlsonschool.umn.edu/graduate/masters/human-resources-industrial-relations/admissions/class-profile" TargetMode="External"/><Relationship Id="rId49" Type="http://schemas.openxmlformats.org/officeDocument/2006/relationships/hyperlink" Target="https://fisher.osu.edu/graduate/mhrm/mhrm-career-outcomes" TargetMode="External"/><Relationship Id="rId57" Type="http://schemas.openxmlformats.org/officeDocument/2006/relationships/hyperlink" Target="https://smlr.rutgers.edu/academic-programs/graduate-programs/masters-human-resource-management/mhrm-application-process" TargetMode="External"/><Relationship Id="rId10" Type="http://schemas.openxmlformats.org/officeDocument/2006/relationships/hyperlink" Target="https://www.sc.edu/study/colleges_schools/moore/study/human_resources/degree_programs/master_of_human_resources/frequently_asked_questions/index.php" TargetMode="External"/><Relationship Id="rId31" Type="http://schemas.openxmlformats.org/officeDocument/2006/relationships/hyperlink" Target="https://ler.illinois.edu/our-programs/human-resources-masters/" TargetMode="External"/><Relationship Id="rId44" Type="http://schemas.openxmlformats.org/officeDocument/2006/relationships/hyperlink" Target="https://careercenter.tamu.edu/current-students/graduate-students" TargetMode="External"/><Relationship Id="rId52" Type="http://schemas.openxmlformats.org/officeDocument/2006/relationships/hyperlink" Target="https://smlr.rutgers.edu/academic-programs/graduate-programs/masters-human-resource-management-mhrm" TargetMode="External"/><Relationship Id="rId60" Type="http://schemas.openxmlformats.org/officeDocument/2006/relationships/hyperlink" Target="https://smlr.rutgers.edu/academic-programs/graduate-programs/masters-human-resource-management/mhrm-application-process" TargetMode="External"/><Relationship Id="rId65" Type="http://schemas.openxmlformats.org/officeDocument/2006/relationships/vmlDrawing" Target="../drawings/vmlDrawing4.vml"/><Relationship Id="rId4" Type="http://schemas.openxmlformats.org/officeDocument/2006/relationships/hyperlink" Target="https://fisher.osu.edu/graduate/mhrm" TargetMode="External"/><Relationship Id="rId9" Type="http://schemas.openxmlformats.org/officeDocument/2006/relationships/hyperlink" Target="https://mays.tamu.edu/graduate/masters/ms-programs/human-resource-management/program-details/" TargetMode="External"/><Relationship Id="rId13" Type="http://schemas.openxmlformats.org/officeDocument/2006/relationships/hyperlink" Target="https://business.purdue.edu/masters/programs/ms-human-resource-management/curriculum.php" TargetMode="External"/><Relationship Id="rId18" Type="http://schemas.openxmlformats.org/officeDocument/2006/relationships/hyperlink" Target="https://business.purdue.edu/masters/programs/ms-human-resource-management/student-experience/experiences.php" TargetMode="External"/><Relationship Id="rId39" Type="http://schemas.openxmlformats.org/officeDocument/2006/relationships/hyperlink" Target="https://carlsonschool.umn.edu/graduate/masters/human-resources-industrial-relations/curriculum"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haslam.utk.edu/supply-chain-management/ms-scm-global/" TargetMode="External"/><Relationship Id="rId21" Type="http://schemas.openxmlformats.org/officeDocument/2006/relationships/hyperlink" Target="https://haslam.utk.edu/supply-chain-management/ms-scm-global/" TargetMode="External"/><Relationship Id="rId42" Type="http://schemas.openxmlformats.org/officeDocument/2006/relationships/hyperlink" Target="https://premium.usnews.com/best-graduate-schools/top-business-schools/washington-university-in-st-louis-01134" TargetMode="External"/><Relationship Id="rId47" Type="http://schemas.openxmlformats.org/officeDocument/2006/relationships/hyperlink" Target="https://premium.usnews.com/best-graduate-schools/top-business-schools/logistics-rankings?name=Michi" TargetMode="External"/><Relationship Id="rId63" Type="http://schemas.openxmlformats.org/officeDocument/2006/relationships/hyperlink" Target="https://www.psu.edu/news/global-programs/story/fall-2024-study-abroad-information-session-be-held-nov-29-university-park" TargetMode="External"/><Relationship Id="rId68" Type="http://schemas.openxmlformats.org/officeDocument/2006/relationships/hyperlink" Target="https://broad.msu.edu/career-management/intern-project/" TargetMode="External"/><Relationship Id="rId84" Type="http://schemas.openxmlformats.org/officeDocument/2006/relationships/hyperlink" Target="https://career.utdallas.edu/experiential-programs/" TargetMode="External"/><Relationship Id="rId89" Type="http://schemas.openxmlformats.org/officeDocument/2006/relationships/vmlDrawing" Target="../drawings/vmlDrawing5.vml"/><Relationship Id="rId16" Type="http://schemas.openxmlformats.org/officeDocument/2006/relationships/hyperlink" Target="https://business.purdue.edu/masters/programs/ms-global-supply-chain-management/profile-msgscm.pdf" TargetMode="External"/><Relationship Id="rId11" Type="http://schemas.openxmlformats.org/officeDocument/2006/relationships/hyperlink" Target="https://bulletin.wustl.edu/grad/business/graduate-masters/supply-chain/" TargetMode="External"/><Relationship Id="rId32" Type="http://schemas.openxmlformats.org/officeDocument/2006/relationships/hyperlink" Target="https://business.purdue.edu/masters/programs/ms-global-supply-chain-management/student-experience/internship-coop.php" TargetMode="External"/><Relationship Id="rId37" Type="http://schemas.openxmlformats.org/officeDocument/2006/relationships/hyperlink" Target="https://broad.msu.edu/masters/supply-chain-management/" TargetMode="External"/><Relationship Id="rId53" Type="http://schemas.openxmlformats.org/officeDocument/2006/relationships/hyperlink" Target="https://www.topuniversities.com/business-masters-rankings/supply-chain-management?search=Washington%20(O" TargetMode="External"/><Relationship Id="rId58" Type="http://schemas.openxmlformats.org/officeDocument/2006/relationships/hyperlink" Target="https://haslam.utk.edu/full-time-mba-2024/tri-con/academics/" TargetMode="External"/><Relationship Id="rId74" Type="http://schemas.openxmlformats.org/officeDocument/2006/relationships/hyperlink" Target="https://wpcarey.asu.edu/masters-programs/supply-chain/experience" TargetMode="External"/><Relationship Id="rId79" Type="http://schemas.openxmlformats.org/officeDocument/2006/relationships/hyperlink" Target="https://om.utdallas.edu/ms-scm/curriculum/" TargetMode="External"/><Relationship Id="rId5" Type="http://schemas.openxmlformats.org/officeDocument/2006/relationships/hyperlink" Target="https://mscm.smeal.psu.edu/" TargetMode="External"/><Relationship Id="rId90" Type="http://schemas.openxmlformats.org/officeDocument/2006/relationships/comments" Target="../comments5.xml"/><Relationship Id="rId14" Type="http://schemas.openxmlformats.org/officeDocument/2006/relationships/hyperlink" Target="https://olin.washu.edu/_assets/docs/programs/overview/ms-supply-chain-management.pdf" TargetMode="External"/><Relationship Id="rId22" Type="http://schemas.openxmlformats.org/officeDocument/2006/relationships/hyperlink" Target="https://haslam.utk.edu/supply-chain-management/ms-scm-global/" TargetMode="External"/><Relationship Id="rId27" Type="http://schemas.openxmlformats.org/officeDocument/2006/relationships/hyperlink" Target="https://om.utdallas.edu/ms-scm/" TargetMode="External"/><Relationship Id="rId30" Type="http://schemas.openxmlformats.org/officeDocument/2006/relationships/hyperlink" Target="https://business.purdue.edu/masters/student-experience/home.php" TargetMode="External"/><Relationship Id="rId35" Type="http://schemas.openxmlformats.org/officeDocument/2006/relationships/hyperlink" Target="https://premium.usnews.com/best-graduate-schools/top-business-schools/michigan-state-university-01118" TargetMode="External"/><Relationship Id="rId43" Type="http://schemas.openxmlformats.org/officeDocument/2006/relationships/hyperlink" Target="https://premium.usnews.com/best-graduate-schools/top-business-schools/washington-university-in-st-louis-01134" TargetMode="External"/><Relationship Id="rId48" Type="http://schemas.openxmlformats.org/officeDocument/2006/relationships/hyperlink" Target="https://premium.usnews.com/best-graduate-schools/top-business-schools/logistics-rankings?name=Penn" TargetMode="External"/><Relationship Id="rId56" Type="http://schemas.openxmlformats.org/officeDocument/2006/relationships/hyperlink" Target="https://haslam.utk.edu/full-time-mba-2024/tri-con/" TargetMode="External"/><Relationship Id="rId64" Type="http://schemas.openxmlformats.org/officeDocument/2006/relationships/hyperlink" Target="https://mscm.smeal.psu.edu/program-details/curriculum" TargetMode="External"/><Relationship Id="rId69" Type="http://schemas.openxmlformats.org/officeDocument/2006/relationships/hyperlink" Target="https://broad.msu.edu/career-management/graduate/" TargetMode="External"/><Relationship Id="rId77" Type="http://schemas.openxmlformats.org/officeDocument/2006/relationships/hyperlink" Target="https://premium.usnews.com/best-graduate-schools/top-business-schools/university-of-texas-at-dallas-01371" TargetMode="External"/><Relationship Id="rId8" Type="http://schemas.openxmlformats.org/officeDocument/2006/relationships/hyperlink" Target="https://mscm.smeal.psu.edu/program-details/curriculum" TargetMode="External"/><Relationship Id="rId51" Type="http://schemas.openxmlformats.org/officeDocument/2006/relationships/hyperlink" Target="https://www.best-masters.com/master-supply-chain-and-logistics-ranking/master-of-science-in-supply-chain-management-arizona-state-university-w-p-carey-school-of-business.html" TargetMode="External"/><Relationship Id="rId72" Type="http://schemas.openxmlformats.org/officeDocument/2006/relationships/hyperlink" Target="https://olin.washu.edu/programs/specialized-masters/ms-in-supply-chain-management/career-prospects.php" TargetMode="External"/><Relationship Id="rId80" Type="http://schemas.openxmlformats.org/officeDocument/2006/relationships/hyperlink" Target="https://jindal.utdallas.edu/student-resources/student-organizations/" TargetMode="External"/><Relationship Id="rId85" Type="http://schemas.openxmlformats.org/officeDocument/2006/relationships/hyperlink" Target="https://career.utdallas.edu/experiential-programs/" TargetMode="External"/><Relationship Id="rId3" Type="http://schemas.openxmlformats.org/officeDocument/2006/relationships/hyperlink" Target="https://olin.wustl.edu/programs/specialized-masters/ms-in-supply-chain-management/index.php" TargetMode="External"/><Relationship Id="rId12" Type="http://schemas.openxmlformats.org/officeDocument/2006/relationships/hyperlink" Target="https://olin.washu.edu/_assets/docs/programs/overview/ms-supply-chain-management.pdf" TargetMode="External"/><Relationship Id="rId17" Type="http://schemas.openxmlformats.org/officeDocument/2006/relationships/hyperlink" Target="https://business.purdue.edu/masters/programs/ms-global-supply-chain-management/profile-msgscm.pdf" TargetMode="External"/><Relationship Id="rId25" Type="http://schemas.openxmlformats.org/officeDocument/2006/relationships/hyperlink" Target="https://haslam.utk.edu/supply-chain-management/ms-scm-global/" TargetMode="External"/><Relationship Id="rId33" Type="http://schemas.openxmlformats.org/officeDocument/2006/relationships/hyperlink" Target="https://business.purdue.edu/masters/programs/ms-global-supply-chain-management/career-outcomes.php" TargetMode="External"/><Relationship Id="rId38" Type="http://schemas.openxmlformats.org/officeDocument/2006/relationships/hyperlink" Target="https://broad.msu.edu/masters/supply-chain-management/" TargetMode="External"/><Relationship Id="rId46" Type="http://schemas.openxmlformats.org/officeDocument/2006/relationships/hyperlink" Target="https://premium.usnews.com/best-graduate-schools/top-business-schools/logistics-rankings?name=Michi" TargetMode="External"/><Relationship Id="rId59" Type="http://schemas.openxmlformats.org/officeDocument/2006/relationships/hyperlink" Target="https://haslam.utk.edu/supply-chain-management/ms-scm-global/" TargetMode="External"/><Relationship Id="rId67" Type="http://schemas.openxmlformats.org/officeDocument/2006/relationships/hyperlink" Target="https://www.smeal.psu.edu/alumni/alumni-career-services/career-coaching" TargetMode="External"/><Relationship Id="rId20" Type="http://schemas.openxmlformats.org/officeDocument/2006/relationships/hyperlink" Target="https://business.purdue.edu/masters/programs/ms-global-supply-chain-management/curriculum.php?utm_campaign=msgscm-fact-sheet_awareness&amp;utm_source=digital-document&amp;utm_content=msgscm_plan-of-study" TargetMode="External"/><Relationship Id="rId41" Type="http://schemas.openxmlformats.org/officeDocument/2006/relationships/hyperlink" Target="https://olin.washu.edu/_assets/docs/programs/overview/ms-supply-chain-management.pdf" TargetMode="External"/><Relationship Id="rId54" Type="http://schemas.openxmlformats.org/officeDocument/2006/relationships/hyperlink" Target="https://www.topuniversities.com/business-masters-rankings/supply-chain-management?search=Ari" TargetMode="External"/><Relationship Id="rId62" Type="http://schemas.openxmlformats.org/officeDocument/2006/relationships/hyperlink" Target="https://mscm.smeal.psu.edu/" TargetMode="External"/><Relationship Id="rId70" Type="http://schemas.openxmlformats.org/officeDocument/2006/relationships/hyperlink" Target="https://mscm.smeal.psu.edu/program-admissions/class-profile" TargetMode="External"/><Relationship Id="rId75" Type="http://schemas.openxmlformats.org/officeDocument/2006/relationships/hyperlink" Target="https://premium.usnews.com/best-graduate-schools/top-business-schools/university-of-texas-at-dallas-01371" TargetMode="External"/><Relationship Id="rId83" Type="http://schemas.openxmlformats.org/officeDocument/2006/relationships/hyperlink" Target="https://wpcarey.asu.edu/finance-degrees/undergraduate-learning-experiences" TargetMode="External"/><Relationship Id="rId88" Type="http://schemas.openxmlformats.org/officeDocument/2006/relationships/hyperlink" Target="https://www.topuniversities.com/business-masters-rankings/supply-chain-management?items_per_page=150" TargetMode="External"/><Relationship Id="rId91" Type="http://schemas.microsoft.com/office/2017/10/relationships/threadedComment" Target="../threadedComments/threadedComment5.xml"/><Relationship Id="rId1" Type="http://schemas.openxmlformats.org/officeDocument/2006/relationships/hyperlink" Target="https://wpcarey.asu.edu/masters-programs/supply-chain" TargetMode="External"/><Relationship Id="rId6" Type="http://schemas.openxmlformats.org/officeDocument/2006/relationships/hyperlink" Target="https://business.purdue.edu/masters/programs/ms-global-supply-chain-management/home.php" TargetMode="External"/><Relationship Id="rId15" Type="http://schemas.openxmlformats.org/officeDocument/2006/relationships/hyperlink" Target="https://business.purdue.edu/masters/programs/ms-global-supply-chain-management/profile-msgscm.pdf" TargetMode="External"/><Relationship Id="rId23" Type="http://schemas.openxmlformats.org/officeDocument/2006/relationships/hyperlink" Target="https://haslam.utk.edu/supply-chain-management/ms-scm-global/" TargetMode="External"/><Relationship Id="rId28" Type="http://schemas.openxmlformats.org/officeDocument/2006/relationships/hyperlink" Target="https://business.purdue.edu/masters/student-experience/home.php" TargetMode="External"/><Relationship Id="rId36" Type="http://schemas.openxmlformats.org/officeDocument/2006/relationships/hyperlink" Target="https://premium.usnews.com/best-graduate-schools/top-business-schools/michigan-state-university-01118" TargetMode="External"/><Relationship Id="rId49" Type="http://schemas.openxmlformats.org/officeDocument/2006/relationships/hyperlink" Target="https://premium.usnews.com/best-graduate-schools/top-business-schools/logistics-rankings?name=Arizon" TargetMode="External"/><Relationship Id="rId57" Type="http://schemas.openxmlformats.org/officeDocument/2006/relationships/hyperlink" Target="https://haslam.utk.edu/full-time-mba-2024/tri-con/" TargetMode="External"/><Relationship Id="rId10" Type="http://schemas.openxmlformats.org/officeDocument/2006/relationships/hyperlink" Target="https://olin.washu.edu/student-resources/center-for-experiential-learning.php" TargetMode="External"/><Relationship Id="rId31" Type="http://schemas.openxmlformats.org/officeDocument/2006/relationships/hyperlink" Target="https://business.purdue.edu/masters/programs/ms-global-supply-chain-management/student-experience/experience.php" TargetMode="External"/><Relationship Id="rId44" Type="http://schemas.openxmlformats.org/officeDocument/2006/relationships/hyperlink" Target="https://olin.washu.edu/student-resources/career-services/index.php" TargetMode="External"/><Relationship Id="rId52" Type="http://schemas.openxmlformats.org/officeDocument/2006/relationships/hyperlink" Target="https://best-masters.com/penn-state-smeal-college-of-business-ranking.html" TargetMode="External"/><Relationship Id="rId60" Type="http://schemas.openxmlformats.org/officeDocument/2006/relationships/hyperlink" Target="https://haslam.utk.edu/supply-chain-management/ms-scm-global/" TargetMode="External"/><Relationship Id="rId65" Type="http://schemas.openxmlformats.org/officeDocument/2006/relationships/hyperlink" Target="https://www.best-masters.com/master-supply-chain-and-logistics-ranking.html" TargetMode="External"/><Relationship Id="rId73" Type="http://schemas.openxmlformats.org/officeDocument/2006/relationships/hyperlink" Target="https://haslam.utk.edu/news/ut-haslams-supply-chain-management-graduate-programs-no-3-in-u-s-news/" TargetMode="External"/><Relationship Id="rId78" Type="http://schemas.openxmlformats.org/officeDocument/2006/relationships/hyperlink" Target="https://premium.usnews.com/best-graduate-schools/top-business-schools/arizona-state-university-01007" TargetMode="External"/><Relationship Id="rId81" Type="http://schemas.openxmlformats.org/officeDocument/2006/relationships/hyperlink" Target="https://jindal.utdallas.edu/student-resources/study-abroad-programs/" TargetMode="External"/><Relationship Id="rId86" Type="http://schemas.openxmlformats.org/officeDocument/2006/relationships/hyperlink" Target="https://career.wpcarey.asu.edu/" TargetMode="External"/><Relationship Id="rId4" Type="http://schemas.openxmlformats.org/officeDocument/2006/relationships/hyperlink" Target="https://haslam.utk.edu/masters/tri-con/" TargetMode="External"/><Relationship Id="rId9" Type="http://schemas.openxmlformats.org/officeDocument/2006/relationships/hyperlink" Target="https://olin.washu.edu/programs/specialized-masters/ms-in-supply-chain-management/index.php" TargetMode="External"/><Relationship Id="rId13" Type="http://schemas.openxmlformats.org/officeDocument/2006/relationships/hyperlink" Target="https://olin.washu.edu/_assets/docs/programs/overview/ms-supply-chain-management.pdf" TargetMode="External"/><Relationship Id="rId18" Type="http://schemas.openxmlformats.org/officeDocument/2006/relationships/hyperlink" Target="https://business.purdue.edu/masters/programs/ms-global-supply-chain-management/fact-sheet-ms-gscm.pdf" TargetMode="External"/><Relationship Id="rId39" Type="http://schemas.openxmlformats.org/officeDocument/2006/relationships/hyperlink" Target="https://broad.msu.edu/masters/supply-chain-management/" TargetMode="External"/><Relationship Id="rId34" Type="http://schemas.openxmlformats.org/officeDocument/2006/relationships/hyperlink" Target="https://www.topuniversities.com/business-masters-rankings/supply-chain-management" TargetMode="External"/><Relationship Id="rId50" Type="http://schemas.openxmlformats.org/officeDocument/2006/relationships/hyperlink" Target="https://www.best-masters.com/master-supply-chain-and-logistics-ranking/mba-in-global-supply-chain-and-logistics-purdue-university-krannert-school-of-management.html" TargetMode="External"/><Relationship Id="rId55" Type="http://schemas.openxmlformats.org/officeDocument/2006/relationships/hyperlink" Target="https://haslam.utk.edu/full-time-mba-2024/tri-con/academics/" TargetMode="External"/><Relationship Id="rId76" Type="http://schemas.openxmlformats.org/officeDocument/2006/relationships/hyperlink" Target="https://premium.usnews.com/best-graduate-schools/top-business-schools/university-of-texas-at-dallas-01371" TargetMode="External"/><Relationship Id="rId7" Type="http://schemas.openxmlformats.org/officeDocument/2006/relationships/hyperlink" Target="https://wpcarey.asu.edu/masters-programs/supply-chain/academics" TargetMode="External"/><Relationship Id="rId71" Type="http://schemas.openxmlformats.org/officeDocument/2006/relationships/hyperlink" Target="https://mscm.smeal.psu.edu/program-admissions/class-profile" TargetMode="External"/><Relationship Id="rId2" Type="http://schemas.openxmlformats.org/officeDocument/2006/relationships/hyperlink" Target="https://broad.msu.edu/masters/supply-chain-management/" TargetMode="External"/><Relationship Id="rId29" Type="http://schemas.openxmlformats.org/officeDocument/2006/relationships/hyperlink" Target="https://business.purdue.edu/masters/student-experience/home.php" TargetMode="External"/><Relationship Id="rId24" Type="http://schemas.openxmlformats.org/officeDocument/2006/relationships/hyperlink" Target="https://haslam.utk.edu/supply-chain-management/ms-scm-global/" TargetMode="External"/><Relationship Id="rId40" Type="http://schemas.openxmlformats.org/officeDocument/2006/relationships/hyperlink" Target="https://olin.washu.edu/_assets/docs/programs/overview/ms-supply-chain-management.pdf" TargetMode="External"/><Relationship Id="rId45" Type="http://schemas.openxmlformats.org/officeDocument/2006/relationships/hyperlink" Target="https://premium.usnews.com/best-graduate-schools/top-business-schools/logistics-rankings?name=Purdue" TargetMode="External"/><Relationship Id="rId66" Type="http://schemas.openxmlformats.org/officeDocument/2006/relationships/hyperlink" Target="https://broad.msu.edu/masters/supply-chain-management/" TargetMode="External"/><Relationship Id="rId87" Type="http://schemas.openxmlformats.org/officeDocument/2006/relationships/hyperlink" Target="https://jindal.utdallas.edu/career-management-center/" TargetMode="External"/><Relationship Id="rId61" Type="http://schemas.openxmlformats.org/officeDocument/2006/relationships/hyperlink" Target="https://haslam.utk.edu/supply-chain-management/ms-scm-global/" TargetMode="External"/><Relationship Id="rId82" Type="http://schemas.openxmlformats.org/officeDocument/2006/relationships/hyperlink" Target="https://goglobal.asu.edu/w-p-carey-global-education-opportunities" TargetMode="External"/><Relationship Id="rId19" Type="http://schemas.openxmlformats.org/officeDocument/2006/relationships/hyperlink" Target="https://business.purdue.edu/masters/programs/ms-global-supply-chain-management/fact-sheet-ms-gscm.pdf"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fordham.edu/gabelli-school-of-business/academic-programs-and-admissions/graduate-programs/academic-programs/ms-programs/" TargetMode="External"/><Relationship Id="rId18" Type="http://schemas.openxmlformats.org/officeDocument/2006/relationships/hyperlink" Target="https://undergrad.kellogg.northwestern.edu/global-experiential-learning/" TargetMode="External"/><Relationship Id="rId26" Type="http://schemas.openxmlformats.org/officeDocument/2006/relationships/hyperlink" Target="https://www.topuniversities.com/business-masters-rankings/marketing?items_per_page=150" TargetMode="External"/><Relationship Id="rId3" Type="http://schemas.openxmlformats.org/officeDocument/2006/relationships/hyperlink" Target="https://simon.rochester.edu/programs/full-time-ms-in-marketing-analytics" TargetMode="External"/><Relationship Id="rId21" Type="http://schemas.openxmlformats.org/officeDocument/2006/relationships/hyperlink" Target="https://www.topuniversities.com/business-masters-rankings/marketing?items_per_page=150" TargetMode="External"/><Relationship Id="rId34" Type="http://schemas.openxmlformats.org/officeDocument/2006/relationships/hyperlink" Target="https://www.medill.northwestern.edu/imc/full-time/" TargetMode="External"/><Relationship Id="rId7" Type="http://schemas.openxmlformats.org/officeDocument/2006/relationships/hyperlink" Target="https://www.medill.northwestern.edu/imc/" TargetMode="External"/><Relationship Id="rId12" Type="http://schemas.openxmlformats.org/officeDocument/2006/relationships/hyperlink" Target="https://www.rochester.edu/college-grad-study/international-opportunities/" TargetMode="External"/><Relationship Id="rId17" Type="http://schemas.openxmlformats.org/officeDocument/2006/relationships/hyperlink" Target="https://bulletin.columbia.edu/content/study-abroad-opportunities" TargetMode="External"/><Relationship Id="rId25" Type="http://schemas.openxmlformats.org/officeDocument/2006/relationships/hyperlink" Target="https://www.topuniversities.com/business-masters-rankings/marketing?items_per_page=150" TargetMode="External"/><Relationship Id="rId33" Type="http://schemas.openxmlformats.org/officeDocument/2006/relationships/hyperlink" Target="https://premium.usnews.com/best-graduate-schools/top-business-schools/marketing-rankings?name=Northwestern%20University%20(Kellogg)" TargetMode="External"/><Relationship Id="rId2" Type="http://schemas.openxmlformats.org/officeDocument/2006/relationships/hyperlink" Target="https://carey.jhu.edu/programs/master-science-programs/ms-marketing-full-time" TargetMode="External"/><Relationship Id="rId16" Type="http://schemas.openxmlformats.org/officeDocument/2006/relationships/hyperlink" Target="https://global.usc.edu/academic-opportunities/study-abroad-and-international-exchange/" TargetMode="External"/><Relationship Id="rId20" Type="http://schemas.openxmlformats.org/officeDocument/2006/relationships/hyperlink" Target="https://www.babson.edu/graduate/academics/mba-concentrations/marketing/" TargetMode="External"/><Relationship Id="rId29" Type="http://schemas.openxmlformats.org/officeDocument/2006/relationships/hyperlink" Target="https://premium.usnews.com/best-graduate-schools/top-business-schools/marketing-rankings?name=Fordham%20University%20(Gabelli)" TargetMode="External"/><Relationship Id="rId1" Type="http://schemas.openxmlformats.org/officeDocument/2006/relationships/hyperlink" Target="https://academics.gsb.columbia.edu/msm" TargetMode="External"/><Relationship Id="rId6" Type="http://schemas.openxmlformats.org/officeDocument/2006/relationships/hyperlink" Target="https://www.marshall.usc.edu/programs/graduate-programs/specialized-masters/ms-marketing" TargetMode="External"/><Relationship Id="rId11" Type="http://schemas.openxmlformats.org/officeDocument/2006/relationships/hyperlink" Target="https://carey.jhu.edu/student-experience/experiential-learning/experiential-courses/global-immersion-program" TargetMode="External"/><Relationship Id="rId24" Type="http://schemas.openxmlformats.org/officeDocument/2006/relationships/hyperlink" Target="https://www.topuniversities.com/business-masters-rankings/marketing?items_per_page=150" TargetMode="External"/><Relationship Id="rId32" Type="http://schemas.openxmlformats.org/officeDocument/2006/relationships/hyperlink" Target="https://premium.usnews.com/best-graduate-schools/top-business-schools/marketing-rankings?name=Columbia%20University" TargetMode="External"/><Relationship Id="rId5" Type="http://schemas.openxmlformats.org/officeDocument/2006/relationships/hyperlink" Target="https://www.rhsmith.umd.edu/programs/business-masters/academics/marketing-analytics" TargetMode="External"/><Relationship Id="rId15" Type="http://schemas.openxmlformats.org/officeDocument/2006/relationships/hyperlink" Target="https://globalmaryland.umd.edu/" TargetMode="External"/><Relationship Id="rId23" Type="http://schemas.openxmlformats.org/officeDocument/2006/relationships/hyperlink" Target="https://www.topuniversities.com/business-masters-rankings/marketing?items_per_page=150" TargetMode="External"/><Relationship Id="rId28" Type="http://schemas.openxmlformats.org/officeDocument/2006/relationships/hyperlink" Target="https://www.topuniversities.com/business-masters-rankings/marketing?items_per_page=150" TargetMode="External"/><Relationship Id="rId10" Type="http://schemas.openxmlformats.org/officeDocument/2006/relationships/hyperlink" Target="https://www.studyabroad.purdue.edu/programs/search.cfm&#160;(Study%20Abroad%20programs)" TargetMode="External"/><Relationship Id="rId19" Type="http://schemas.openxmlformats.org/officeDocument/2006/relationships/hyperlink" Target="https://www.babson.edu/academics/graduate/global-immersions/" TargetMode="External"/><Relationship Id="rId31" Type="http://schemas.openxmlformats.org/officeDocument/2006/relationships/hyperlink" Target="https://premium.usnews.com/best-graduate-schools/top-business-schools/marketing-rankings?name=University%20of%20Southern%20California%20(Marshall)" TargetMode="External"/><Relationship Id="rId4" Type="http://schemas.openxmlformats.org/officeDocument/2006/relationships/hyperlink" Target="https://www.mccombs.utexas.edu/graduate/specialized-masters/ms-marketing/" TargetMode="External"/><Relationship Id="rId9" Type="http://schemas.openxmlformats.org/officeDocument/2006/relationships/hyperlink" Target="https://business.purdue.edu/masters/programs/ms-marketing/home.php" TargetMode="External"/><Relationship Id="rId14" Type="http://schemas.openxmlformats.org/officeDocument/2006/relationships/hyperlink" Target="https://www.mccombs.utexas.edu/students/international/study-abroad" TargetMode="External"/><Relationship Id="rId22" Type="http://schemas.openxmlformats.org/officeDocument/2006/relationships/hyperlink" Target="https://www.topuniversities.com/business-masters-rankings/marketing?items_per_page=150" TargetMode="External"/><Relationship Id="rId27" Type="http://schemas.openxmlformats.org/officeDocument/2006/relationships/hyperlink" Target="https://www.topuniversities.com/business-masters-rankings/marketing?items_per_page=150" TargetMode="External"/><Relationship Id="rId30" Type="http://schemas.openxmlformats.org/officeDocument/2006/relationships/hyperlink" Target="https://premium.usnews.com/best-graduate-schools/top-business-schools/marketing-rankings?name=University%20of%20Texas--Austin%20(McCombs)" TargetMode="External"/><Relationship Id="rId8" Type="http://schemas.openxmlformats.org/officeDocument/2006/relationships/hyperlink" Target="https://www.fordham.edu/gabelli-school-of-business/academic-programs-and-admissions/graduate-programs/academic-programs/ms-programs/marketing-intelligence/"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purdue.edu/online/landing-page/online-or-residential-master-of-business-and-technology/?utm_source=google&amp;utm_medium=search&amp;utm_campaign=mbt_technology&amp;gad_source=1&amp;gad_campaignid=22907530303&amp;gbraid=0AAAAABVHIDvJ2le1fnXYM3Fayu7Gl-h0t&amp;gclid=Cj0KCQjwzt_FBhCEARIsAJGFWVk3kxgseW_synVOwsOfVOQMFFvXKod7-k8ZocDCFsMr8r2GVByjcbgaAr86EALw_wcB" TargetMode="External"/><Relationship Id="rId18" Type="http://schemas.openxmlformats.org/officeDocument/2006/relationships/hyperlink" Target="https://tech.cornell.edu/programs/masters-programs/johnson-cornell-tech-mba/" TargetMode="External"/><Relationship Id="rId26" Type="http://schemas.openxmlformats.org/officeDocument/2006/relationships/hyperlink" Target="https://www.cmu.edu/tepper/programs/mba/curriculum/full-time-curriculum-map.html" TargetMode="External"/><Relationship Id="rId39" Type="http://schemas.openxmlformats.org/officeDocument/2006/relationships/hyperlink" Target="https://www.scheller.gatech.edu/explore-programs/mba-programs/full-time-mba/tuition-and-financing/index.html" TargetMode="External"/><Relationship Id="rId21" Type="http://schemas.openxmlformats.org/officeDocument/2006/relationships/hyperlink" Target="https://www.scheller.gatech.edu/explore-programs/mba-programs/full-time-mba/index.html" TargetMode="External"/><Relationship Id="rId34" Type="http://schemas.openxmlformats.org/officeDocument/2006/relationships/hyperlink" Target="https://business.purdue.edu/masters/student-experience/home.php" TargetMode="External"/><Relationship Id="rId42" Type="http://schemas.microsoft.com/office/2017/10/relationships/threadedComment" Target="../threadedComments/threadedComment6.xml"/><Relationship Id="rId7" Type="http://schemas.openxmlformats.org/officeDocument/2006/relationships/hyperlink" Target="https://www.cmu.edu/tepper/programs/mba/admissions/mba-class-profiles/full-time-mba.html" TargetMode="External"/><Relationship Id="rId2" Type="http://schemas.openxmlformats.org/officeDocument/2006/relationships/hyperlink" Target="https://sps.columbia.edu/academics/masters/technology-management/master-science" TargetMode="External"/><Relationship Id="rId16" Type="http://schemas.openxmlformats.org/officeDocument/2006/relationships/hyperlink" Target="https://sps.columbia.edu/academics/masters/technology-management/executive-master-science" TargetMode="External"/><Relationship Id="rId20" Type="http://schemas.openxmlformats.org/officeDocument/2006/relationships/hyperlink" Target="https://www.scheller.gatech.edu/explore-programs/mba-programs/full-time-mba/index.html" TargetMode="External"/><Relationship Id="rId29" Type="http://schemas.openxmlformats.org/officeDocument/2006/relationships/hyperlink" Target="https://www.cmu.edu/tepper/programs/mba/careers/career-treks.html" TargetMode="External"/><Relationship Id="rId41" Type="http://schemas.openxmlformats.org/officeDocument/2006/relationships/comments" Target="../comments6.xml"/><Relationship Id="rId1" Type="http://schemas.openxmlformats.org/officeDocument/2006/relationships/hyperlink" Target="https://tech.cornell.edu/programs/masters-programs/johnson-cornell-tech-mba/" TargetMode="External"/><Relationship Id="rId6" Type="http://schemas.openxmlformats.org/officeDocument/2006/relationships/hyperlink" Target="https://business.purdue.edu/master-of-business/master-of-business-and-technology/home.php" TargetMode="External"/><Relationship Id="rId11" Type="http://schemas.openxmlformats.org/officeDocument/2006/relationships/hyperlink" Target="https://www.cmu.edu/tepper/programs/mba/admissions/mba-class-profiles/full-time-mba.html" TargetMode="External"/><Relationship Id="rId24" Type="http://schemas.openxmlformats.org/officeDocument/2006/relationships/hyperlink" Target="https://mbai.northwestern.edu/" TargetMode="External"/><Relationship Id="rId32" Type="http://schemas.openxmlformats.org/officeDocument/2006/relationships/hyperlink" Target="https://business.purdue.edu/masters/student-experience/home.php" TargetMode="External"/><Relationship Id="rId37" Type="http://schemas.openxmlformats.org/officeDocument/2006/relationships/hyperlink" Target="https://www.topuniversities.com/mba-rankings/united-states" TargetMode="External"/><Relationship Id="rId40" Type="http://schemas.openxmlformats.org/officeDocument/2006/relationships/vmlDrawing" Target="../drawings/vmlDrawing6.vml"/><Relationship Id="rId5" Type="http://schemas.openxmlformats.org/officeDocument/2006/relationships/hyperlink" Target="https://catalog.gatech.edu/programs/mba-management-technology-executive/" TargetMode="External"/><Relationship Id="rId15" Type="http://schemas.openxmlformats.org/officeDocument/2006/relationships/hyperlink" Target="https://sps.columbia.edu/academics/masters/technology-management/master-science" TargetMode="External"/><Relationship Id="rId23" Type="http://schemas.openxmlformats.org/officeDocument/2006/relationships/hyperlink" Target="https://mbai.northwestern.edu/curriculum/" TargetMode="External"/><Relationship Id="rId28" Type="http://schemas.openxmlformats.org/officeDocument/2006/relationships/hyperlink" Target="https://www.cmu.edu/tepper/programs/mba/life-at-tepper/global-treks.html" TargetMode="External"/><Relationship Id="rId36" Type="http://schemas.openxmlformats.org/officeDocument/2006/relationships/hyperlink" Target="https://business.purdue.edu/master-of-business/shared/experience.php" TargetMode="External"/><Relationship Id="rId10" Type="http://schemas.openxmlformats.org/officeDocument/2006/relationships/hyperlink" Target="https://www.cmu.edu/tepper/programs/mba/admissions/mba-class-profiles/full-time-mba.html" TargetMode="External"/><Relationship Id="rId19" Type="http://schemas.openxmlformats.org/officeDocument/2006/relationships/hyperlink" Target="https://tech.cornell.edu/programs/masters-programs/johnson-cornell-tech-mba/" TargetMode="External"/><Relationship Id="rId31" Type="http://schemas.openxmlformats.org/officeDocument/2006/relationships/hyperlink" Target="https://www.scheller.gatech.edu/centers-and-initiatives/institute-for-leadership-and-social-impact/programs/study-abroad.html" TargetMode="External"/><Relationship Id="rId4" Type="http://schemas.openxmlformats.org/officeDocument/2006/relationships/hyperlink" Target="https://www.cmu.edu/tepper/programs/mba/curriculum/concentration/business-technologies.html" TargetMode="External"/><Relationship Id="rId9" Type="http://schemas.openxmlformats.org/officeDocument/2006/relationships/hyperlink" Target="https://www.cmu.edu/tepper/programs/mba/admissions/mba-class-profiles/full-time-mba.html" TargetMode="External"/><Relationship Id="rId14" Type="http://schemas.openxmlformats.org/officeDocument/2006/relationships/hyperlink" Target="https://sps.columbia.edu/academics/masters/technology-management/master-science/curriculum-courses" TargetMode="External"/><Relationship Id="rId22" Type="http://schemas.openxmlformats.org/officeDocument/2006/relationships/hyperlink" Target="https://www.scheller.gatech.edu/explore-programs/mba-programs/full-time-mba/index.html" TargetMode="External"/><Relationship Id="rId27" Type="http://schemas.openxmlformats.org/officeDocument/2006/relationships/hyperlink" Target="https://www.cmu.edu/tepper/programs/mba/program-options/full-time.html" TargetMode="External"/><Relationship Id="rId30" Type="http://schemas.openxmlformats.org/officeDocument/2006/relationships/hyperlink" Target="https://www.cmu.edu/tepper/programs/mba/program-options/full-time.html" TargetMode="External"/><Relationship Id="rId35" Type="http://schemas.openxmlformats.org/officeDocument/2006/relationships/hyperlink" Target="https://business.purdue.edu/master-of-business/master-of-business-and-technology/curriculum.php" TargetMode="External"/><Relationship Id="rId8" Type="http://schemas.openxmlformats.org/officeDocument/2006/relationships/hyperlink" Target="https://www.cmu.edu/tepper/programs/mba/admissions/mba-class-profiles/full-time-mba.html" TargetMode="External"/><Relationship Id="rId3" Type="http://schemas.openxmlformats.org/officeDocument/2006/relationships/hyperlink" Target="https://www.kellogg.northwestern.edu/programs/full-time-mba/mbai-program.aspx" TargetMode="External"/><Relationship Id="rId12" Type="http://schemas.openxmlformats.org/officeDocument/2006/relationships/hyperlink" Target="https://www.cmu.edu/tepper/programs/mba/admissions/mba-class-profiles/full-time-mba.html" TargetMode="External"/><Relationship Id="rId17" Type="http://schemas.openxmlformats.org/officeDocument/2006/relationships/hyperlink" Target="https://tech.cornell.edu/programs/masters-programs/johnson-cornell-tech-mba/" TargetMode="External"/><Relationship Id="rId25" Type="http://schemas.openxmlformats.org/officeDocument/2006/relationships/hyperlink" Target="https://mbai.northwestern.edu/inside-our-program/articles/2023/preparing-the-next-generation-of-ai-leaders.html" TargetMode="External"/><Relationship Id="rId33" Type="http://schemas.openxmlformats.org/officeDocument/2006/relationships/hyperlink" Target="https://business.purdue.edu/masters/student-experience/home.php" TargetMode="External"/><Relationship Id="rId38" Type="http://schemas.openxmlformats.org/officeDocument/2006/relationships/hyperlink" Target="https://business.purdue.edu/master-of-business/master-of-business-and-technology/tuition.php?&amp;utm_campaign=mbt-fact-sheet_awareness&amp;utm_source=digital_factsheet&amp;utm_medium=school-website&amp;utm_content=mbt-tuition"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warrington.ufl.edu/master-of-business-administration-mba/full-time-mba/academics/experiential-learning/%60" TargetMode="External"/><Relationship Id="rId21" Type="http://schemas.openxmlformats.org/officeDocument/2006/relationships/hyperlink" Target="https://www.google.com/search?q=https://www.stern.nyu.edu/programs-admissions/full-time-mba-abu-dhabi/academics/curriculum" TargetMode="External"/><Relationship Id="rId42" Type="http://schemas.openxmlformats.org/officeDocument/2006/relationships/hyperlink" Target="https://www.topuniversities.com/mba-rankings/united-states?items_per_page=150" TargetMode="External"/><Relationship Id="rId47" Type="http://schemas.openxmlformats.org/officeDocument/2006/relationships/hyperlink" Target="https://www.topuniversities.com/mba-rankings/united-states?items_per_page=150" TargetMode="External"/><Relationship Id="rId63" Type="http://schemas.openxmlformats.org/officeDocument/2006/relationships/hyperlink" Target="https://premium.usnews.com/best-graduate-schools/top-business-schools/executive-rankings?name=New%20York%20University%20(Stern)" TargetMode="External"/><Relationship Id="rId68" Type="http://schemas.openxmlformats.org/officeDocument/2006/relationships/hyperlink" Target="https://apply.stern.nyu.edu/portal/f&amp;l_events" TargetMode="External"/><Relationship Id="rId7" Type="http://schemas.openxmlformats.org/officeDocument/2006/relationships/hyperlink" Target="https://www.stern.nyu.edu/programs-admissions/tech-mba" TargetMode="External"/><Relationship Id="rId71" Type="http://schemas.openxmlformats.org/officeDocument/2006/relationships/hyperlink" Target="https://www.smeal.psu.edu/mba/career-services/networking" TargetMode="External"/><Relationship Id="rId2" Type="http://schemas.openxmlformats.org/officeDocument/2006/relationships/hyperlink" Target="https://www.johnson.cornell.edu/programs/full-time-mba/cornell-tech-mba/" TargetMode="External"/><Relationship Id="rId16" Type="http://schemas.openxmlformats.org/officeDocument/2006/relationships/hyperlink" Target="https://www.google.com/search?q=https://www.kellogg.northwestern.edu/programs/full-time-mba/experiential-learning.aspx" TargetMode="External"/><Relationship Id="rId29" Type="http://schemas.openxmlformats.org/officeDocument/2006/relationships/hyperlink" Target="https://www.google.com/search?q=https://katz.pitt.edu/student-experience/global-programs" TargetMode="External"/><Relationship Id="rId11" Type="http://schemas.openxmlformats.org/officeDocument/2006/relationships/hyperlink" Target="https://business.purdue.edu/master-of-business/one-year-mba/home.php" TargetMode="External"/><Relationship Id="rId24" Type="http://schemas.openxmlformats.org/officeDocument/2006/relationships/hyperlink" Target="https://warrington.ufl.edu/master-of-business-administration-mba/full-time-mba/student-experience/global-immersion/%60" TargetMode="External"/><Relationship Id="rId32" Type="http://schemas.openxmlformats.org/officeDocument/2006/relationships/hyperlink" Target="https://www.google.com/search?q=https://business.uc.edu/academics/masters/mba/full-time/curriculum.html" TargetMode="External"/><Relationship Id="rId37" Type="http://schemas.openxmlformats.org/officeDocument/2006/relationships/hyperlink" Target="https://www.tuition.pitt.edu/graduate/tuition/joseph-m-katz-graduate-school-business" TargetMode="External"/><Relationship Id="rId40" Type="http://schemas.openxmlformats.org/officeDocument/2006/relationships/hyperlink" Target="https://oneyearmba.smeal.psu.edu/program-details/tuition-aid" TargetMode="External"/><Relationship Id="rId45" Type="http://schemas.openxmlformats.org/officeDocument/2006/relationships/hyperlink" Target="https://www.topuniversities.com/mba-rankings/united-states?items_per_page=150" TargetMode="External"/><Relationship Id="rId53" Type="http://schemas.openxmlformats.org/officeDocument/2006/relationships/hyperlink" Target="https://www.best-masters.com/master-mba-full-time-ranking/usa.html" TargetMode="External"/><Relationship Id="rId58" Type="http://schemas.openxmlformats.org/officeDocument/2006/relationships/hyperlink" Target="https://www.best-masters.com/master-mba-full-time-ranking/usa.html" TargetMode="External"/><Relationship Id="rId66" Type="http://schemas.openxmlformats.org/officeDocument/2006/relationships/hyperlink" Target="https://www.smeal.psu.edu/mba/student-experience/global-experiences" TargetMode="External"/><Relationship Id="rId5" Type="http://schemas.openxmlformats.org/officeDocument/2006/relationships/hyperlink" Target="https://business.uc.edu/programs-degrees/graduate/mba.html" TargetMode="External"/><Relationship Id="rId61" Type="http://schemas.openxmlformats.org/officeDocument/2006/relationships/hyperlink" Target="https://premium.usnews.com/best-graduate-schools/top-business-schools/executive-rankings?name=New%20York%20University%20(Stern)" TargetMode="External"/><Relationship Id="rId19" Type="http://schemas.openxmlformats.org/officeDocument/2006/relationships/hyperlink" Target="https://www.google.com/search?q=https://www.stern.nyu.edu/programs-admissions/full-time-mba-abu-dhabi/academics/curriculum" TargetMode="External"/><Relationship Id="rId14" Type="http://schemas.openxmlformats.org/officeDocument/2006/relationships/hyperlink" Target="https://www.google.com/search?q=https://www.kellogg.northwestern.edu/programs/full-time-mba/global-opportunities.aspx" TargetMode="External"/><Relationship Id="rId22" Type="http://schemas.openxmlformats.org/officeDocument/2006/relationships/hyperlink" Target="https://warrington.ufl.edu/master-of-business-administration-mba/full-time-mba/academics/curriculum/%60" TargetMode="External"/><Relationship Id="rId27" Type="http://schemas.openxmlformats.org/officeDocument/2006/relationships/hyperlink" Target="https://www.google.com/search?q=https://katz.pitt.edu/mba/one-year-mba" TargetMode="External"/><Relationship Id="rId30" Type="http://schemas.openxmlformats.org/officeDocument/2006/relationships/hyperlink" Target="https://www.google.com/search?q=https://katz.pitt.edu/career-services" TargetMode="External"/><Relationship Id="rId35" Type="http://schemas.openxmlformats.org/officeDocument/2006/relationships/hyperlink" Target="https://www.google.com/search?q=https://business.uc.edu/student-experience/city-treks.html" TargetMode="External"/><Relationship Id="rId43" Type="http://schemas.openxmlformats.org/officeDocument/2006/relationships/hyperlink" Target="https://www.topuniversities.com/mba-rankings/united-states?items_per_page=150" TargetMode="External"/><Relationship Id="rId48" Type="http://schemas.openxmlformats.org/officeDocument/2006/relationships/hyperlink" Target="https://www.topuniversities.com/mba-rankings/united-states?items_per_page=150" TargetMode="External"/><Relationship Id="rId56" Type="http://schemas.openxmlformats.org/officeDocument/2006/relationships/hyperlink" Target="https://www.best-masters.com/master-mba-full-time-ranking/usa.html" TargetMode="External"/><Relationship Id="rId64" Type="http://schemas.openxmlformats.org/officeDocument/2006/relationships/hyperlink" Target="https://www.smeal.psu.edu/mba/student-experience/clubs-organizations" TargetMode="External"/><Relationship Id="rId69" Type="http://schemas.openxmlformats.org/officeDocument/2006/relationships/hyperlink" Target="https://www.google.com/search?q=https://gatton.uky.edu/graham-office-career-management/career-management-services/career-treks" TargetMode="External"/><Relationship Id="rId8" Type="http://schemas.openxmlformats.org/officeDocument/2006/relationships/hyperlink" Target="https://www.stern.nyu.edu/programs-admissions/luxury-retail-mba" TargetMode="External"/><Relationship Id="rId51" Type="http://schemas.openxmlformats.org/officeDocument/2006/relationships/hyperlink" Target="https://www.best-masters.com/master-mba-full-time-ranking/usa.html" TargetMode="External"/><Relationship Id="rId72" Type="http://schemas.openxmlformats.org/officeDocument/2006/relationships/hyperlink" Target="https://www.smeal.psu.edu/mba/student-experience/leadership-development" TargetMode="External"/><Relationship Id="rId3" Type="http://schemas.openxmlformats.org/officeDocument/2006/relationships/hyperlink" Target="https://warrington.ufl.edu/mba/program-options/full-time-mba/full-time-mba-one-year-all-majors/" TargetMode="External"/><Relationship Id="rId12" Type="http://schemas.openxmlformats.org/officeDocument/2006/relationships/hyperlink" Target="https://www.google.com/search?q=https://www.kellogg.northwestern.edu/programs/full-time-mba/one-year-mba/academics.aspx" TargetMode="External"/><Relationship Id="rId17" Type="http://schemas.openxmlformats.org/officeDocument/2006/relationships/hyperlink" Target="https://www.google.com/search?q=https://www.stern.nyu.edu/programs-admissions/full-time-mba-abu-dhabi/academics/curriculum" TargetMode="External"/><Relationship Id="rId25" Type="http://schemas.openxmlformats.org/officeDocument/2006/relationships/hyperlink" Target="https://warrington.ufl.edu/master-of-business-administration-mba/full-time-mba/career-services/career-treks/%60" TargetMode="External"/><Relationship Id="rId33" Type="http://schemas.openxmlformats.org/officeDocument/2006/relationships/hyperlink" Target="https://www.google.com/search?q=https://business.uc.edu/student-experience/graduate-student-organizations.html" TargetMode="External"/><Relationship Id="rId38" Type="http://schemas.openxmlformats.org/officeDocument/2006/relationships/hyperlink" Target="https://oneyearmba.smeal.psu.edu/program-details/tuition-aid" TargetMode="External"/><Relationship Id="rId46" Type="http://schemas.openxmlformats.org/officeDocument/2006/relationships/hyperlink" Target="https://www.topuniversities.com/mba-rankings/united-states?items_per_page=150" TargetMode="External"/><Relationship Id="rId59" Type="http://schemas.openxmlformats.org/officeDocument/2006/relationships/hyperlink" Target="https://premium.usnews.com/best-graduate-schools/top-business-schools/executive-rankings?name=Northwestern%20University%20(Kellogg)" TargetMode="External"/><Relationship Id="rId67" Type="http://schemas.openxmlformats.org/officeDocument/2006/relationships/hyperlink" Target="https://www.google.com/search?q=https://www.johnson.cornell.edu/programs/full-time-mba/career-treks/" TargetMode="External"/><Relationship Id="rId20" Type="http://schemas.openxmlformats.org/officeDocument/2006/relationships/hyperlink" Target="https://www.google.com/search?q=https://www.stern.nyu.edu/programs-admissions/full-time-mba-abu-dhabi/career-development" TargetMode="External"/><Relationship Id="rId41" Type="http://schemas.openxmlformats.org/officeDocument/2006/relationships/hyperlink" Target="https://www.topuniversities.com/mba-rankings/united-states?items_per_page=150" TargetMode="External"/><Relationship Id="rId54" Type="http://schemas.openxmlformats.org/officeDocument/2006/relationships/hyperlink" Target="https://www.best-masters.com/master-mba-full-time-ranking/usa.html" TargetMode="External"/><Relationship Id="rId62" Type="http://schemas.openxmlformats.org/officeDocument/2006/relationships/hyperlink" Target="https://premium.usnews.com/best-graduate-schools/top-business-schools/executive-rankings?name=New%20York%20University%20(Stern)" TargetMode="External"/><Relationship Id="rId70" Type="http://schemas.openxmlformats.org/officeDocument/2006/relationships/hyperlink" Target="https://www.google.com/search?q=https://www.stern.nyu.edu/programs-admissions/full-time-mba/career/office-career-development" TargetMode="External"/><Relationship Id="rId1" Type="http://schemas.openxmlformats.org/officeDocument/2006/relationships/hyperlink" Target="https://www.kellogg.northwestern.edu/programs/full-time-mba/one-year-mba-program/" TargetMode="External"/><Relationship Id="rId6" Type="http://schemas.openxmlformats.org/officeDocument/2006/relationships/hyperlink" Target="https://gatton.uky.edu/prc/full-time-mba" TargetMode="External"/><Relationship Id="rId15" Type="http://schemas.openxmlformats.org/officeDocument/2006/relationships/hyperlink" Target="https://www.google.com/search?q=https://www.kellogg.northwestern.edu/student-life/clubs-activities/career-clubs.aspx" TargetMode="External"/><Relationship Id="rId23" Type="http://schemas.openxmlformats.org/officeDocument/2006/relationships/hyperlink" Target="https://warrington.ufl.edu/master-of-business-administration-mba/full-time-mba/student-experience/student-involvement/%60" TargetMode="External"/><Relationship Id="rId28" Type="http://schemas.openxmlformats.org/officeDocument/2006/relationships/hyperlink" Target="https://www.google.com/search?q=https://katz.pitt.edu/student-experience/clubs-organizations" TargetMode="External"/><Relationship Id="rId36" Type="http://schemas.openxmlformats.org/officeDocument/2006/relationships/hyperlink" Target="https://www.google.com/search?q=https://business.uc.edu/student-experience/experiential-learning.html" TargetMode="External"/><Relationship Id="rId49" Type="http://schemas.openxmlformats.org/officeDocument/2006/relationships/hyperlink" Target="https://www.topuniversities.com/mba-rankings/united-states?items_per_page=150" TargetMode="External"/><Relationship Id="rId57" Type="http://schemas.openxmlformats.org/officeDocument/2006/relationships/hyperlink" Target="https://www.best-masters.com/master-mba-full-time-ranking/usa.html" TargetMode="External"/><Relationship Id="rId10" Type="http://schemas.openxmlformats.org/officeDocument/2006/relationships/hyperlink" Target="https://business.pitt.edu/mba/accelerated-mba/" TargetMode="External"/><Relationship Id="rId31" Type="http://schemas.openxmlformats.org/officeDocument/2006/relationships/hyperlink" Target="https://www.google.com/search?q=https://katz.pitt.edu/academics/experiential-learning" TargetMode="External"/><Relationship Id="rId44" Type="http://schemas.openxmlformats.org/officeDocument/2006/relationships/hyperlink" Target="https://www.topuniversities.com/mba-rankings/united-states?items_per_page=150" TargetMode="External"/><Relationship Id="rId52" Type="http://schemas.openxmlformats.org/officeDocument/2006/relationships/hyperlink" Target="https://www.best-masters.com/master-mba-full-time-ranking/usa.html" TargetMode="External"/><Relationship Id="rId60" Type="http://schemas.openxmlformats.org/officeDocument/2006/relationships/hyperlink" Target="https://premium.usnews.com/best-graduate-schools/top-business-schools/executive-rankings?name=cornell" TargetMode="External"/><Relationship Id="rId65" Type="http://schemas.openxmlformats.org/officeDocument/2006/relationships/hyperlink" Target="https://www.google.com/search?q=https://gatton.uky.edu/programs/mba/one-year-mba/international-experience)" TargetMode="External"/><Relationship Id="rId4" Type="http://schemas.openxmlformats.org/officeDocument/2006/relationships/hyperlink" Target="https://oneyearmba.smeal.psu.edu/" TargetMode="External"/><Relationship Id="rId9" Type="http://schemas.openxmlformats.org/officeDocument/2006/relationships/hyperlink" Target="https://stern.nyuad.nyu.edu/" TargetMode="External"/><Relationship Id="rId13" Type="http://schemas.openxmlformats.org/officeDocument/2006/relationships/hyperlink" Target="https://www.google.com/search?q=https://www.kellogg.northwestern.edu/student-life/clubs-activities.aspx" TargetMode="External"/><Relationship Id="rId18" Type="http://schemas.openxmlformats.org/officeDocument/2006/relationships/hyperlink" Target="https://www.google.com/search?q=https://www.stern.nyu.edu/programs-admissions/full-time-mba-abu-dhabi/student-experience" TargetMode="External"/><Relationship Id="rId39" Type="http://schemas.openxmlformats.org/officeDocument/2006/relationships/hyperlink" Target="https://oneyearmba.smeal.psu.edu/program-details/tuition-aid" TargetMode="External"/><Relationship Id="rId34" Type="http://schemas.openxmlformats.org/officeDocument/2006/relationships/hyperlink" Target="https://www.google.com/search?q=https://business.uc.edu/student-experience/international-programs.html" TargetMode="External"/><Relationship Id="rId50" Type="http://schemas.openxmlformats.org/officeDocument/2006/relationships/hyperlink" Target="https://www.topuniversities.com/mba-rankings/united-states?items_per_page=150" TargetMode="External"/><Relationship Id="rId55" Type="http://schemas.openxmlformats.org/officeDocument/2006/relationships/hyperlink" Target="https://www.best-masters.com/master-mba-full-time-ranking/us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40D5-B294-4111-BE89-5F40D660B2FC}">
  <dimension ref="A1:H44"/>
  <sheetViews>
    <sheetView zoomScale="131" workbookViewId="0">
      <selection activeCell="E32" sqref="E32"/>
    </sheetView>
  </sheetViews>
  <sheetFormatPr defaultColWidth="8.85546875" defaultRowHeight="15"/>
  <cols>
    <col min="2" max="2" width="28.42578125" bestFit="1" customWidth="1"/>
    <col min="3" max="3" width="30.42578125" bestFit="1" customWidth="1"/>
    <col min="5" max="5" width="61.42578125" bestFit="1" customWidth="1"/>
    <col min="6" max="6" width="46.42578125" bestFit="1" customWidth="1"/>
  </cols>
  <sheetData>
    <row r="1" spans="1:8">
      <c r="A1" s="1"/>
      <c r="B1" s="2" t="s">
        <v>0</v>
      </c>
      <c r="C1" s="1"/>
      <c r="D1" s="1"/>
      <c r="E1" s="1" t="s">
        <v>1</v>
      </c>
      <c r="F1" s="1"/>
      <c r="G1" s="1"/>
      <c r="H1" s="1"/>
    </row>
    <row r="2" spans="1:8">
      <c r="A2" s="1"/>
      <c r="B2" s="3" t="s">
        <v>2</v>
      </c>
      <c r="C2" s="4" t="s">
        <v>3</v>
      </c>
      <c r="D2" s="1"/>
      <c r="E2" s="5" t="s">
        <v>2</v>
      </c>
      <c r="F2" s="4" t="s">
        <v>3</v>
      </c>
      <c r="G2" s="1"/>
      <c r="H2" s="1"/>
    </row>
    <row r="3" spans="1:8">
      <c r="A3" s="1"/>
      <c r="B3" s="6" t="s">
        <v>4</v>
      </c>
      <c r="C3" s="418" t="s">
        <v>5</v>
      </c>
      <c r="D3" s="1"/>
      <c r="E3" s="7" t="s">
        <v>4</v>
      </c>
      <c r="F3" s="8" t="s">
        <v>4</v>
      </c>
      <c r="G3" s="1"/>
      <c r="H3" s="1"/>
    </row>
    <row r="4" spans="1:8">
      <c r="A4" s="1"/>
      <c r="B4" s="9" t="s">
        <v>6</v>
      </c>
      <c r="C4" s="419"/>
      <c r="D4" s="1"/>
      <c r="E4" s="7" t="s">
        <v>6</v>
      </c>
      <c r="F4" s="8" t="s">
        <v>6</v>
      </c>
      <c r="G4" s="1"/>
      <c r="H4" s="1"/>
    </row>
    <row r="5" spans="1:8">
      <c r="A5" s="1"/>
      <c r="B5" s="9" t="s">
        <v>7</v>
      </c>
      <c r="C5" s="8" t="s">
        <v>8</v>
      </c>
      <c r="D5" s="1"/>
      <c r="E5" s="10" t="s">
        <v>7</v>
      </c>
      <c r="F5" s="8" t="s">
        <v>7</v>
      </c>
      <c r="G5" s="1"/>
      <c r="H5" s="1"/>
    </row>
    <row r="6" spans="1:8">
      <c r="A6" s="1"/>
      <c r="B6" s="11" t="s">
        <v>9</v>
      </c>
      <c r="C6" s="12"/>
      <c r="D6" s="1"/>
      <c r="E6" s="10" t="s">
        <v>9</v>
      </c>
      <c r="F6" s="8" t="s">
        <v>10</v>
      </c>
      <c r="G6" s="1"/>
      <c r="H6" s="1"/>
    </row>
    <row r="7" spans="1:8" ht="15.95">
      <c r="A7" s="1"/>
      <c r="B7" s="13" t="s">
        <v>11</v>
      </c>
      <c r="C7" s="14"/>
      <c r="D7" s="1"/>
      <c r="E7" s="10" t="s">
        <v>11</v>
      </c>
      <c r="F7" s="8" t="s">
        <v>11</v>
      </c>
      <c r="G7" s="1"/>
      <c r="H7" s="1"/>
    </row>
    <row r="8" spans="1:8">
      <c r="A8" s="1"/>
      <c r="B8" s="9" t="s">
        <v>12</v>
      </c>
      <c r="C8" s="12"/>
      <c r="D8" s="1"/>
      <c r="E8" s="10" t="s">
        <v>12</v>
      </c>
      <c r="F8" s="8" t="s">
        <v>13</v>
      </c>
      <c r="G8" s="1"/>
      <c r="H8" s="1"/>
    </row>
    <row r="9" spans="1:8">
      <c r="A9" s="1"/>
      <c r="B9" s="9" t="s">
        <v>14</v>
      </c>
      <c r="C9" s="8" t="s">
        <v>15</v>
      </c>
      <c r="D9" s="1"/>
      <c r="E9" s="10" t="s">
        <v>14</v>
      </c>
      <c r="F9" s="8" t="s">
        <v>16</v>
      </c>
      <c r="G9" s="1"/>
      <c r="H9" s="1"/>
    </row>
    <row r="10" spans="1:8">
      <c r="A10" s="1"/>
      <c r="B10" s="9" t="s">
        <v>17</v>
      </c>
      <c r="C10" s="8" t="s">
        <v>18</v>
      </c>
      <c r="D10" s="1"/>
      <c r="E10" s="10" t="s">
        <v>17</v>
      </c>
      <c r="F10" s="8" t="s">
        <v>19</v>
      </c>
      <c r="G10" s="1"/>
      <c r="H10" s="1"/>
    </row>
    <row r="11" spans="1:8">
      <c r="A11" s="1"/>
      <c r="B11" s="11" t="s">
        <v>20</v>
      </c>
      <c r="C11" s="12"/>
      <c r="D11" s="1"/>
      <c r="E11" s="15" t="s">
        <v>20</v>
      </c>
      <c r="F11" s="8"/>
      <c r="G11" s="1"/>
      <c r="H11" s="1"/>
    </row>
    <row r="12" spans="1:8">
      <c r="A12" s="1"/>
      <c r="B12" s="9" t="s">
        <v>21</v>
      </c>
      <c r="C12" s="8" t="s">
        <v>22</v>
      </c>
      <c r="D12" s="1"/>
      <c r="E12" s="10" t="s">
        <v>21</v>
      </c>
      <c r="F12" s="8" t="s">
        <v>21</v>
      </c>
      <c r="G12" s="1"/>
      <c r="H12" s="1"/>
    </row>
    <row r="13" spans="1:8">
      <c r="A13" s="1"/>
      <c r="B13" s="9"/>
      <c r="C13" s="16" t="s">
        <v>23</v>
      </c>
      <c r="D13" s="1"/>
      <c r="E13" s="10" t="s">
        <v>24</v>
      </c>
      <c r="F13" s="8" t="s">
        <v>25</v>
      </c>
      <c r="G13" s="1"/>
      <c r="H13" s="1"/>
    </row>
    <row r="14" spans="1:8">
      <c r="A14" s="1"/>
      <c r="B14" s="9" t="s">
        <v>24</v>
      </c>
      <c r="C14" s="12"/>
      <c r="D14" s="1"/>
      <c r="E14" s="10" t="s">
        <v>26</v>
      </c>
      <c r="F14" s="8" t="s">
        <v>27</v>
      </c>
      <c r="G14" s="1"/>
      <c r="H14" s="1"/>
    </row>
    <row r="15" spans="1:8">
      <c r="A15" s="1"/>
      <c r="B15" s="9" t="s">
        <v>26</v>
      </c>
      <c r="C15" s="12"/>
      <c r="D15" s="1"/>
      <c r="E15" s="15" t="s">
        <v>28</v>
      </c>
      <c r="F15" s="8"/>
      <c r="G15" s="1"/>
      <c r="H15" s="1"/>
    </row>
    <row r="16" spans="1:8">
      <c r="A16" s="1"/>
      <c r="B16" s="9" t="s">
        <v>29</v>
      </c>
      <c r="C16" s="8" t="s">
        <v>30</v>
      </c>
      <c r="D16" s="1"/>
      <c r="E16" s="17"/>
      <c r="F16" s="16" t="s">
        <v>31</v>
      </c>
      <c r="G16" s="1"/>
      <c r="H16" s="1"/>
    </row>
    <row r="17" spans="1:8">
      <c r="A17" s="1"/>
      <c r="B17" s="9" t="s">
        <v>32</v>
      </c>
      <c r="C17" s="16" t="s">
        <v>33</v>
      </c>
      <c r="D17" s="1"/>
      <c r="E17" s="10" t="s">
        <v>29</v>
      </c>
      <c r="F17" s="8" t="s">
        <v>34</v>
      </c>
      <c r="G17" s="1"/>
      <c r="H17" s="1"/>
    </row>
    <row r="18" spans="1:8">
      <c r="A18" s="1"/>
      <c r="B18" s="9"/>
      <c r="C18" s="8" t="s">
        <v>35</v>
      </c>
      <c r="D18" s="1"/>
      <c r="E18" s="17" t="s">
        <v>32</v>
      </c>
      <c r="F18" s="8"/>
      <c r="G18" s="1"/>
      <c r="H18" s="1"/>
    </row>
    <row r="19" spans="1:8">
      <c r="A19" s="1"/>
      <c r="B19" s="9" t="s">
        <v>36</v>
      </c>
      <c r="C19" s="12"/>
      <c r="D19" s="1"/>
      <c r="E19" s="17" t="s">
        <v>37</v>
      </c>
      <c r="F19" s="8"/>
      <c r="G19" s="1"/>
      <c r="H19" s="1"/>
    </row>
    <row r="20" spans="1:8">
      <c r="A20" s="1"/>
      <c r="B20" s="9" t="s">
        <v>38</v>
      </c>
      <c r="C20" s="8" t="s">
        <v>39</v>
      </c>
      <c r="D20" s="1"/>
      <c r="E20" s="10" t="s">
        <v>38</v>
      </c>
      <c r="F20" s="8" t="s">
        <v>39</v>
      </c>
      <c r="G20" s="1"/>
      <c r="H20" s="1"/>
    </row>
    <row r="21" spans="1:8">
      <c r="A21" s="1"/>
      <c r="B21" s="9" t="s">
        <v>40</v>
      </c>
      <c r="C21" s="14"/>
      <c r="D21" s="1"/>
      <c r="E21" s="15" t="s">
        <v>40</v>
      </c>
      <c r="F21" s="8"/>
      <c r="G21" s="1"/>
      <c r="H21" s="1"/>
    </row>
    <row r="22" spans="1:8">
      <c r="A22" s="1"/>
      <c r="B22" s="9" t="s">
        <v>41</v>
      </c>
      <c r="C22" s="8" t="s">
        <v>42</v>
      </c>
      <c r="D22" s="1"/>
      <c r="E22" s="17"/>
      <c r="F22" s="18" t="s">
        <v>43</v>
      </c>
      <c r="G22" s="1"/>
      <c r="H22" s="1" t="s">
        <v>44</v>
      </c>
    </row>
    <row r="23" spans="1:8">
      <c r="A23" s="1"/>
      <c r="B23" s="9"/>
      <c r="C23" s="16" t="s">
        <v>45</v>
      </c>
      <c r="D23" s="1"/>
      <c r="E23" s="17"/>
      <c r="F23" s="16" t="s">
        <v>46</v>
      </c>
      <c r="G23" s="1"/>
      <c r="H23" s="1" t="s">
        <v>47</v>
      </c>
    </row>
    <row r="24" spans="1:8">
      <c r="A24" s="1"/>
      <c r="B24" s="9" t="s">
        <v>48</v>
      </c>
      <c r="C24" s="8" t="s">
        <v>49</v>
      </c>
      <c r="D24" s="1"/>
      <c r="E24" s="17"/>
      <c r="F24" s="16" t="s">
        <v>50</v>
      </c>
      <c r="G24" s="1"/>
      <c r="H24" s="1"/>
    </row>
    <row r="25" spans="1:8">
      <c r="A25" s="1"/>
      <c r="B25" s="9"/>
      <c r="C25" s="16" t="s">
        <v>51</v>
      </c>
      <c r="D25" s="1"/>
      <c r="E25" s="17"/>
      <c r="F25" s="16" t="s">
        <v>52</v>
      </c>
      <c r="G25" s="1"/>
      <c r="H25" s="1"/>
    </row>
    <row r="26" spans="1:8">
      <c r="A26" s="1"/>
      <c r="B26" s="9" t="s">
        <v>53</v>
      </c>
      <c r="C26" s="12"/>
      <c r="D26" s="1"/>
      <c r="E26" s="10" t="s">
        <v>41</v>
      </c>
      <c r="F26" s="8" t="s">
        <v>54</v>
      </c>
      <c r="G26" s="1"/>
      <c r="H26" s="1"/>
    </row>
    <row r="27" spans="1:8">
      <c r="A27" s="1"/>
      <c r="B27" s="9"/>
      <c r="C27" s="16" t="s">
        <v>55</v>
      </c>
      <c r="D27" s="1"/>
      <c r="E27" s="10" t="s">
        <v>48</v>
      </c>
      <c r="F27" s="8" t="s">
        <v>56</v>
      </c>
      <c r="G27" s="1"/>
      <c r="H27" s="1"/>
    </row>
    <row r="28" spans="1:8">
      <c r="A28" s="1"/>
      <c r="B28" s="9"/>
      <c r="C28" s="16" t="s">
        <v>57</v>
      </c>
      <c r="D28" s="1"/>
      <c r="E28" s="10" t="s">
        <v>53</v>
      </c>
      <c r="F28" s="8" t="s">
        <v>58</v>
      </c>
      <c r="G28" s="1"/>
      <c r="H28" s="1"/>
    </row>
    <row r="29" spans="1:8">
      <c r="A29" s="1"/>
      <c r="B29" s="11" t="s">
        <v>59</v>
      </c>
      <c r="C29" s="420" t="s">
        <v>60</v>
      </c>
      <c r="D29" s="1"/>
      <c r="E29" s="10"/>
      <c r="F29" s="16" t="s">
        <v>61</v>
      </c>
      <c r="G29" s="1"/>
      <c r="H29" s="1"/>
    </row>
    <row r="30" spans="1:8">
      <c r="A30" s="1"/>
      <c r="B30" s="11" t="s">
        <v>62</v>
      </c>
      <c r="C30" s="421"/>
      <c r="D30" s="1"/>
      <c r="E30" s="10"/>
      <c r="F30" s="19" t="s">
        <v>63</v>
      </c>
      <c r="G30" s="1"/>
      <c r="H30" s="1"/>
    </row>
    <row r="31" spans="1:8">
      <c r="A31" s="1"/>
      <c r="B31" s="11" t="s">
        <v>64</v>
      </c>
      <c r="C31" s="421"/>
      <c r="D31" s="1"/>
      <c r="E31" s="10"/>
      <c r="F31" s="16" t="s">
        <v>65</v>
      </c>
      <c r="G31" s="1"/>
      <c r="H31" s="1" t="s">
        <v>66</v>
      </c>
    </row>
    <row r="32" spans="1:8">
      <c r="A32" s="1"/>
      <c r="B32" s="11" t="s">
        <v>67</v>
      </c>
      <c r="C32" s="422"/>
      <c r="D32" s="1"/>
      <c r="E32" s="15" t="s">
        <v>68</v>
      </c>
      <c r="F32" s="8"/>
      <c r="G32" s="1"/>
      <c r="H32" s="1"/>
    </row>
    <row r="33" spans="1:8">
      <c r="A33" s="1"/>
      <c r="B33" s="9" t="s">
        <v>69</v>
      </c>
      <c r="C33" s="12"/>
      <c r="D33" s="1"/>
      <c r="E33" s="15" t="s">
        <v>70</v>
      </c>
      <c r="F33" s="8"/>
      <c r="G33" s="1"/>
      <c r="H33" s="1"/>
    </row>
    <row r="34" spans="1:8">
      <c r="A34" s="1"/>
      <c r="B34" s="9" t="s">
        <v>71</v>
      </c>
      <c r="C34" s="12"/>
      <c r="D34" s="1"/>
      <c r="E34" s="15" t="s">
        <v>72</v>
      </c>
      <c r="F34" s="8"/>
      <c r="G34" s="1"/>
      <c r="H34" s="1"/>
    </row>
    <row r="35" spans="1:8">
      <c r="A35" s="1"/>
      <c r="B35" s="9"/>
      <c r="C35" s="16" t="s">
        <v>73</v>
      </c>
      <c r="D35" s="1"/>
      <c r="E35" s="15" t="s">
        <v>74</v>
      </c>
      <c r="F35" s="8"/>
      <c r="G35" s="1"/>
      <c r="H35" s="1"/>
    </row>
    <row r="36" spans="1:8">
      <c r="A36" s="1"/>
      <c r="B36" s="9"/>
      <c r="C36" s="16" t="s">
        <v>75</v>
      </c>
      <c r="D36" s="1"/>
      <c r="E36" s="15" t="s">
        <v>76</v>
      </c>
      <c r="F36" s="8"/>
      <c r="G36" s="1"/>
      <c r="H36" s="1"/>
    </row>
    <row r="37" spans="1:8">
      <c r="A37" s="1"/>
      <c r="B37" s="20" t="s">
        <v>77</v>
      </c>
      <c r="C37" s="21"/>
      <c r="D37" s="1"/>
      <c r="E37" s="15" t="s">
        <v>62</v>
      </c>
      <c r="F37" s="423" t="s">
        <v>78</v>
      </c>
      <c r="G37" s="1"/>
      <c r="H37" s="1"/>
    </row>
    <row r="38" spans="1:8">
      <c r="A38" s="1"/>
      <c r="B38" s="2"/>
      <c r="C38" s="1"/>
      <c r="D38" s="1"/>
      <c r="E38" s="15" t="s">
        <v>64</v>
      </c>
      <c r="F38" s="424"/>
      <c r="G38" s="1"/>
      <c r="H38" s="1"/>
    </row>
    <row r="39" spans="1:8">
      <c r="A39" s="1"/>
      <c r="B39" s="2"/>
      <c r="C39" s="1"/>
      <c r="D39" s="1"/>
      <c r="E39" s="15" t="s">
        <v>67</v>
      </c>
      <c r="F39" s="425"/>
      <c r="G39" s="1"/>
      <c r="H39" s="1"/>
    </row>
    <row r="40" spans="1:8">
      <c r="A40" s="1"/>
      <c r="B40" s="2"/>
      <c r="C40" s="1"/>
      <c r="D40" s="1"/>
      <c r="E40" s="17"/>
      <c r="F40" s="16" t="s">
        <v>79</v>
      </c>
      <c r="G40" s="1"/>
      <c r="H40" s="1"/>
    </row>
    <row r="41" spans="1:8">
      <c r="A41" s="1"/>
      <c r="B41" s="2"/>
      <c r="C41" s="1"/>
      <c r="D41" s="1"/>
      <c r="E41" s="15" t="s">
        <v>80</v>
      </c>
      <c r="F41" s="8"/>
      <c r="G41" s="1"/>
      <c r="H41" s="1"/>
    </row>
    <row r="42" spans="1:8">
      <c r="A42" s="1"/>
      <c r="B42" s="2"/>
      <c r="C42" s="1"/>
      <c r="D42" s="1"/>
      <c r="E42" s="10" t="s">
        <v>69</v>
      </c>
      <c r="F42" s="418" t="s">
        <v>81</v>
      </c>
      <c r="G42" s="1"/>
      <c r="H42" s="1"/>
    </row>
    <row r="43" spans="1:8">
      <c r="A43" s="1"/>
      <c r="B43" s="2"/>
      <c r="C43" s="1"/>
      <c r="D43" s="1"/>
      <c r="E43" s="22" t="s">
        <v>71</v>
      </c>
      <c r="F43" s="419"/>
      <c r="G43" s="1"/>
      <c r="H43" s="1"/>
    </row>
    <row r="44" spans="1:8">
      <c r="A44" s="1"/>
      <c r="B44" s="2"/>
      <c r="C44" s="1"/>
      <c r="D44" s="1"/>
      <c r="E44" s="20" t="s">
        <v>77</v>
      </c>
      <c r="F44" s="8"/>
      <c r="G44" s="1"/>
      <c r="H44" s="1"/>
    </row>
  </sheetData>
  <mergeCells count="4">
    <mergeCell ref="C3:C4"/>
    <mergeCell ref="C29:C32"/>
    <mergeCell ref="F37:F39"/>
    <mergeCell ref="F42:F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2C1D-A1DE-452E-B91E-53A85A9D87A4}">
  <dimension ref="A1:BB1"/>
  <sheetViews>
    <sheetView workbookViewId="0"/>
  </sheetViews>
  <sheetFormatPr defaultColWidth="8.85546875" defaultRowHeight="15"/>
  <cols>
    <col min="49" max="49" width="16" bestFit="1" customWidth="1"/>
  </cols>
  <sheetData>
    <row r="1" spans="1:54">
      <c r="A1" s="23" t="s">
        <v>4</v>
      </c>
      <c r="B1" s="23" t="s">
        <v>6</v>
      </c>
      <c r="C1" s="23" t="s">
        <v>7</v>
      </c>
      <c r="D1" s="23" t="s">
        <v>11</v>
      </c>
      <c r="E1" s="23" t="s">
        <v>82</v>
      </c>
      <c r="F1" s="23" t="s">
        <v>83</v>
      </c>
      <c r="G1" s="23" t="s">
        <v>84</v>
      </c>
      <c r="H1" s="23" t="s">
        <v>85</v>
      </c>
      <c r="I1" s="23" t="s">
        <v>14</v>
      </c>
      <c r="J1" s="23" t="s">
        <v>86</v>
      </c>
      <c r="K1" s="23" t="s">
        <v>20</v>
      </c>
      <c r="L1" s="23" t="s">
        <v>21</v>
      </c>
      <c r="M1" s="23" t="s">
        <v>24</v>
      </c>
      <c r="N1" s="23" t="s">
        <v>26</v>
      </c>
      <c r="O1" s="23" t="s">
        <v>23</v>
      </c>
      <c r="P1" s="23" t="s">
        <v>30</v>
      </c>
      <c r="Q1" s="23" t="s">
        <v>38</v>
      </c>
      <c r="R1" s="23" t="s">
        <v>33</v>
      </c>
      <c r="S1" s="23" t="s">
        <v>36</v>
      </c>
      <c r="T1" s="1" t="s">
        <v>87</v>
      </c>
      <c r="U1" s="24" t="s">
        <v>88</v>
      </c>
      <c r="V1" s="24" t="s">
        <v>89</v>
      </c>
      <c r="W1" s="1" t="s">
        <v>90</v>
      </c>
      <c r="X1" s="1" t="s">
        <v>91</v>
      </c>
      <c r="Y1" s="1" t="s">
        <v>92</v>
      </c>
      <c r="Z1" s="23" t="s">
        <v>93</v>
      </c>
      <c r="AA1" s="23" t="s">
        <v>94</v>
      </c>
      <c r="AB1" s="23" t="s">
        <v>95</v>
      </c>
      <c r="AC1" s="23" t="s">
        <v>96</v>
      </c>
      <c r="AD1" s="23" t="s">
        <v>97</v>
      </c>
      <c r="AE1" s="23" t="s">
        <v>98</v>
      </c>
      <c r="AF1" s="23" t="s">
        <v>99</v>
      </c>
      <c r="AG1" s="23" t="s">
        <v>55</v>
      </c>
      <c r="AH1" s="23" t="s">
        <v>57</v>
      </c>
      <c r="AI1" s="23" t="s">
        <v>100</v>
      </c>
      <c r="AJ1" s="23" t="s">
        <v>62</v>
      </c>
      <c r="AK1" s="23" t="s">
        <v>64</v>
      </c>
      <c r="AL1" s="23" t="s">
        <v>67</v>
      </c>
      <c r="AM1" s="23" t="s">
        <v>101</v>
      </c>
      <c r="AN1" s="23" t="s">
        <v>102</v>
      </c>
      <c r="AO1" s="23" t="s">
        <v>69</v>
      </c>
      <c r="AP1" s="23" t="s">
        <v>71</v>
      </c>
      <c r="AR1" s="23"/>
      <c r="BB1"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3443-A2CC-4A92-ACE6-23051786E4C2}">
  <dimension ref="A1:E42"/>
  <sheetViews>
    <sheetView workbookViewId="0">
      <selection activeCell="E26" sqref="E26"/>
    </sheetView>
  </sheetViews>
  <sheetFormatPr defaultColWidth="8.85546875" defaultRowHeight="15"/>
  <cols>
    <col min="1" max="1" width="54.28515625" customWidth="1"/>
    <col min="2" max="2" width="49" customWidth="1"/>
    <col min="3" max="3" width="57.7109375" customWidth="1"/>
    <col min="5" max="5" width="48.140625" customWidth="1"/>
  </cols>
  <sheetData>
    <row r="1" spans="1:5" ht="15.95">
      <c r="A1" s="23" t="s">
        <v>4</v>
      </c>
      <c r="E1" s="33" t="s">
        <v>103</v>
      </c>
    </row>
    <row r="2" spans="1:5" ht="15.95">
      <c r="A2" s="23" t="s">
        <v>6</v>
      </c>
      <c r="E2" s="33" t="s">
        <v>104</v>
      </c>
    </row>
    <row r="3" spans="1:5" ht="15.95">
      <c r="A3" s="23" t="s">
        <v>7</v>
      </c>
      <c r="B3" s="33" t="s">
        <v>103</v>
      </c>
      <c r="C3" s="33" t="s">
        <v>103</v>
      </c>
      <c r="E3" s="33" t="s">
        <v>105</v>
      </c>
    </row>
    <row r="4" spans="1:5" ht="15.95">
      <c r="A4" s="23" t="s">
        <v>11</v>
      </c>
      <c r="E4" s="33" t="s">
        <v>42</v>
      </c>
    </row>
    <row r="5" spans="1:5" ht="15.95">
      <c r="A5" s="23" t="s">
        <v>82</v>
      </c>
      <c r="E5" s="33" t="s">
        <v>45</v>
      </c>
    </row>
    <row r="6" spans="1:5" ht="15.95">
      <c r="A6" s="23" t="s">
        <v>83</v>
      </c>
      <c r="E6" s="33" t="s">
        <v>49</v>
      </c>
    </row>
    <row r="7" spans="1:5" ht="15.95">
      <c r="A7" s="23" t="s">
        <v>84</v>
      </c>
      <c r="E7" s="33" t="s">
        <v>51</v>
      </c>
    </row>
    <row r="8" spans="1:5" ht="15.95">
      <c r="A8" s="23" t="s">
        <v>85</v>
      </c>
      <c r="B8" s="33" t="s">
        <v>106</v>
      </c>
      <c r="E8" s="33" t="s">
        <v>107</v>
      </c>
    </row>
    <row r="9" spans="1:5" ht="15.95">
      <c r="A9" s="23" t="s">
        <v>14</v>
      </c>
      <c r="B9" s="33" t="s">
        <v>108</v>
      </c>
      <c r="E9" s="33" t="s">
        <v>23</v>
      </c>
    </row>
    <row r="10" spans="1:5" ht="15.95">
      <c r="A10" s="23" t="s">
        <v>86</v>
      </c>
      <c r="B10" s="33" t="s">
        <v>109</v>
      </c>
      <c r="E10" s="33" t="s">
        <v>109</v>
      </c>
    </row>
    <row r="11" spans="1:5" ht="15.95">
      <c r="A11" s="23" t="s">
        <v>20</v>
      </c>
      <c r="E11" s="33" t="s">
        <v>108</v>
      </c>
    </row>
    <row r="12" spans="1:5" ht="15.95">
      <c r="A12" s="23" t="s">
        <v>21</v>
      </c>
      <c r="B12" s="33" t="s">
        <v>107</v>
      </c>
      <c r="E12" s="33" t="s">
        <v>110</v>
      </c>
    </row>
    <row r="13" spans="1:5" ht="15.95">
      <c r="A13" s="23" t="s">
        <v>24</v>
      </c>
      <c r="E13" s="33" t="s">
        <v>106</v>
      </c>
    </row>
    <row r="14" spans="1:5" ht="15.95">
      <c r="A14" s="23" t="s">
        <v>26</v>
      </c>
      <c r="E14" s="33" t="s">
        <v>111</v>
      </c>
    </row>
    <row r="15" spans="1:5" ht="15.95">
      <c r="A15" s="23" t="s">
        <v>23</v>
      </c>
      <c r="B15" s="33" t="s">
        <v>23</v>
      </c>
      <c r="E15" s="34" t="s">
        <v>112</v>
      </c>
    </row>
    <row r="16" spans="1:5" ht="15.95">
      <c r="A16" s="23" t="s">
        <v>30</v>
      </c>
      <c r="B16" s="33" t="s">
        <v>104</v>
      </c>
      <c r="E16" s="33" t="s">
        <v>113</v>
      </c>
    </row>
    <row r="17" spans="1:5" ht="32.1">
      <c r="A17" s="23" t="s">
        <v>38</v>
      </c>
      <c r="B17" s="33" t="s">
        <v>105</v>
      </c>
      <c r="E17" s="34" t="s">
        <v>114</v>
      </c>
    </row>
    <row r="18" spans="1:5" ht="15.95">
      <c r="A18" s="23" t="s">
        <v>33</v>
      </c>
      <c r="E18" s="33" t="s">
        <v>115</v>
      </c>
    </row>
    <row r="19" spans="1:5" ht="15.95">
      <c r="A19" s="23" t="s">
        <v>36</v>
      </c>
      <c r="E19" s="33" t="s">
        <v>116</v>
      </c>
    </row>
    <row r="20" spans="1:5" ht="15.95">
      <c r="A20" s="1" t="s">
        <v>87</v>
      </c>
      <c r="E20" s="34" t="s">
        <v>60</v>
      </c>
    </row>
    <row r="21" spans="1:5">
      <c r="A21" s="24" t="s">
        <v>88</v>
      </c>
    </row>
    <row r="22" spans="1:5">
      <c r="A22" s="24" t="s">
        <v>89</v>
      </c>
    </row>
    <row r="23" spans="1:5">
      <c r="A23" s="1" t="s">
        <v>90</v>
      </c>
    </row>
    <row r="24" spans="1:5" ht="15.95">
      <c r="A24" s="1" t="s">
        <v>91</v>
      </c>
      <c r="E24" s="34" t="s">
        <v>112</v>
      </c>
    </row>
    <row r="25" spans="1:5" ht="32.1">
      <c r="A25" s="1" t="s">
        <v>92</v>
      </c>
      <c r="E25" s="34" t="s">
        <v>114</v>
      </c>
    </row>
    <row r="26" spans="1:5" ht="15.95">
      <c r="A26" s="23" t="s">
        <v>93</v>
      </c>
      <c r="E26" s="34" t="s">
        <v>60</v>
      </c>
    </row>
    <row r="27" spans="1:5" ht="15.95">
      <c r="A27" s="23" t="s">
        <v>94</v>
      </c>
      <c r="B27" s="33" t="s">
        <v>42</v>
      </c>
    </row>
    <row r="28" spans="1:5">
      <c r="A28" s="23" t="s">
        <v>95</v>
      </c>
    </row>
    <row r="29" spans="1:5">
      <c r="A29" s="23" t="s">
        <v>96</v>
      </c>
    </row>
    <row r="30" spans="1:5" ht="15.95">
      <c r="A30" s="23" t="s">
        <v>97</v>
      </c>
      <c r="B30" s="33" t="s">
        <v>45</v>
      </c>
    </row>
    <row r="31" spans="1:5">
      <c r="A31" s="23" t="s">
        <v>98</v>
      </c>
    </row>
    <row r="32" spans="1:5">
      <c r="A32" s="23" t="s">
        <v>99</v>
      </c>
    </row>
    <row r="33" spans="1:2" ht="15.95">
      <c r="A33" s="23" t="s">
        <v>55</v>
      </c>
      <c r="B33" s="33" t="s">
        <v>111</v>
      </c>
    </row>
    <row r="34" spans="1:2" ht="15.95">
      <c r="A34" s="23" t="s">
        <v>57</v>
      </c>
      <c r="B34" s="33" t="s">
        <v>110</v>
      </c>
    </row>
    <row r="35" spans="1:2">
      <c r="A35" s="23" t="s">
        <v>100</v>
      </c>
    </row>
    <row r="36" spans="1:2">
      <c r="A36" s="23" t="s">
        <v>62</v>
      </c>
    </row>
    <row r="37" spans="1:2">
      <c r="A37" s="23" t="s">
        <v>64</v>
      </c>
    </row>
    <row r="38" spans="1:2">
      <c r="A38" s="23" t="s">
        <v>67</v>
      </c>
    </row>
    <row r="39" spans="1:2">
      <c r="A39" s="23" t="s">
        <v>101</v>
      </c>
    </row>
    <row r="40" spans="1:2">
      <c r="A40" s="23" t="s">
        <v>102</v>
      </c>
    </row>
    <row r="41" spans="1:2">
      <c r="A41" s="23" t="s">
        <v>69</v>
      </c>
    </row>
    <row r="42" spans="1:2">
      <c r="A42" s="23"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639D-FFCA-469A-A978-9C27BB7AD4DA}">
  <dimension ref="A1:AP1"/>
  <sheetViews>
    <sheetView workbookViewId="0">
      <selection activeCell="H33" sqref="H33"/>
    </sheetView>
  </sheetViews>
  <sheetFormatPr defaultColWidth="8.85546875" defaultRowHeight="15"/>
  <sheetData>
    <row r="1" spans="1:42">
      <c r="A1" t="s">
        <v>4</v>
      </c>
      <c r="B1" t="s">
        <v>117</v>
      </c>
      <c r="C1" t="s">
        <v>7</v>
      </c>
      <c r="D1" t="s">
        <v>11</v>
      </c>
      <c r="E1" t="s">
        <v>82</v>
      </c>
      <c r="F1" t="s">
        <v>83</v>
      </c>
      <c r="G1" t="s">
        <v>84</v>
      </c>
      <c r="H1" t="s">
        <v>85</v>
      </c>
      <c r="I1" t="s">
        <v>14</v>
      </c>
      <c r="J1" t="s">
        <v>86</v>
      </c>
      <c r="K1" t="s">
        <v>20</v>
      </c>
      <c r="L1" t="s">
        <v>21</v>
      </c>
      <c r="M1" t="s">
        <v>25</v>
      </c>
      <c r="N1" t="s">
        <v>27</v>
      </c>
      <c r="O1" t="s">
        <v>28</v>
      </c>
      <c r="P1" t="s">
        <v>118</v>
      </c>
      <c r="Q1" t="s">
        <v>38</v>
      </c>
      <c r="R1" t="s">
        <v>119</v>
      </c>
      <c r="S1" t="s">
        <v>120</v>
      </c>
      <c r="T1" t="s">
        <v>46</v>
      </c>
      <c r="U1" t="s">
        <v>121</v>
      </c>
      <c r="V1" t="s">
        <v>122</v>
      </c>
      <c r="W1" t="s">
        <v>123</v>
      </c>
      <c r="X1" t="s">
        <v>94</v>
      </c>
      <c r="Y1" t="s">
        <v>95</v>
      </c>
      <c r="Z1" t="s">
        <v>96</v>
      </c>
      <c r="AA1" t="s">
        <v>97</v>
      </c>
      <c r="AB1" t="s">
        <v>98</v>
      </c>
      <c r="AC1" t="s">
        <v>99</v>
      </c>
      <c r="AD1" t="s">
        <v>100</v>
      </c>
      <c r="AE1" t="s">
        <v>65</v>
      </c>
      <c r="AF1" t="s">
        <v>68</v>
      </c>
      <c r="AG1" t="s">
        <v>70</v>
      </c>
      <c r="AH1" t="s">
        <v>74</v>
      </c>
      <c r="AI1" t="s">
        <v>76</v>
      </c>
      <c r="AJ1" t="s">
        <v>62</v>
      </c>
      <c r="AK1" t="s">
        <v>64</v>
      </c>
      <c r="AL1" t="s">
        <v>67</v>
      </c>
      <c r="AM1" t="s">
        <v>101</v>
      </c>
      <c r="AN1" t="s">
        <v>102</v>
      </c>
      <c r="AO1" t="s">
        <v>69</v>
      </c>
      <c r="AP1"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8E10-241D-4F76-A154-63B549231F83}">
  <sheetPr>
    <tabColor theme="4" tint="0.59999389629810485"/>
  </sheetPr>
  <dimension ref="A1:BC17"/>
  <sheetViews>
    <sheetView zoomScale="131" workbookViewId="0">
      <pane xSplit="1" ySplit="1" topLeftCell="AP2" activePane="bottomRight" state="frozen"/>
      <selection pane="bottomRight" activeCell="AR1" sqref="AR1:AT1"/>
      <selection pane="bottomLeft" activeCell="A2" sqref="A2"/>
      <selection pane="topRight" activeCell="B1" sqref="B1"/>
    </sheetView>
  </sheetViews>
  <sheetFormatPr defaultColWidth="8.85546875" defaultRowHeight="15"/>
  <cols>
    <col min="1" max="1" width="23.7109375" customWidth="1"/>
    <col min="2" max="2" width="26.140625" bestFit="1" customWidth="1"/>
    <col min="3" max="3" width="36.85546875" bestFit="1" customWidth="1"/>
    <col min="4" max="4" width="28.85546875" bestFit="1" customWidth="1"/>
    <col min="5" max="5" width="14" bestFit="1" customWidth="1"/>
    <col min="6" max="6" width="14.85546875" bestFit="1" customWidth="1"/>
    <col min="7" max="7" width="14.42578125" bestFit="1" customWidth="1"/>
    <col min="8" max="8" width="12.28515625" bestFit="1" customWidth="1"/>
    <col min="9" max="9" width="26.85546875" bestFit="1" customWidth="1"/>
    <col min="10" max="10" width="24.140625" bestFit="1" customWidth="1"/>
    <col min="11" max="11" width="19.7109375" bestFit="1" customWidth="1"/>
    <col min="12" max="12" width="9.28515625" bestFit="1" customWidth="1"/>
    <col min="13" max="13" width="16" bestFit="1" customWidth="1"/>
    <col min="14" max="14" width="10.85546875" bestFit="1" customWidth="1"/>
    <col min="15" max="15" width="15" bestFit="1" customWidth="1"/>
    <col min="16" max="16" width="17.42578125" bestFit="1" customWidth="1"/>
    <col min="17" max="17" width="12.140625" bestFit="1" customWidth="1"/>
    <col min="18" max="18" width="19" bestFit="1" customWidth="1"/>
    <col min="19" max="19" width="15.42578125" customWidth="1"/>
    <col min="20" max="20" width="50.140625" bestFit="1" customWidth="1"/>
    <col min="21" max="21" width="43.7109375" customWidth="1"/>
    <col min="22" max="22" width="55.28515625" customWidth="1"/>
    <col min="23" max="23" width="22.85546875" bestFit="1" customWidth="1"/>
    <col min="24" max="24" width="19.28515625" customWidth="1"/>
    <col min="25" max="25" width="36.42578125" style="29" bestFit="1" customWidth="1"/>
    <col min="26" max="26" width="28.140625" bestFit="1" customWidth="1"/>
    <col min="27" max="27" width="24.140625" bestFit="1" customWidth="1"/>
    <col min="28" max="28" width="28.42578125" bestFit="1" customWidth="1"/>
    <col min="29" max="29" width="28.85546875" bestFit="1" customWidth="1"/>
    <col min="30" max="30" width="19.7109375" bestFit="1" customWidth="1"/>
    <col min="31" max="31" width="24" bestFit="1" customWidth="1"/>
    <col min="32" max="32" width="24.42578125" bestFit="1" customWidth="1"/>
    <col min="33" max="33" width="12.7109375" customWidth="1"/>
    <col min="34" max="34" width="11.7109375" customWidth="1"/>
    <col min="35" max="35" width="30.28515625" bestFit="1" customWidth="1"/>
    <col min="36" max="37" width="30.28515625" customWidth="1"/>
    <col min="38" max="38" width="18.85546875" bestFit="1" customWidth="1"/>
    <col min="39" max="39" width="26.140625" bestFit="1" customWidth="1"/>
    <col min="40" max="40" width="12.28515625" bestFit="1" customWidth="1"/>
    <col min="41" max="41" width="16" style="26" bestFit="1" customWidth="1"/>
    <col min="42" max="42" width="23.42578125" bestFit="1" customWidth="1"/>
    <col min="43" max="43" width="23.7109375" bestFit="1" customWidth="1"/>
    <col min="44" max="44" width="26" bestFit="1" customWidth="1"/>
    <col min="45" max="45" width="30.140625" bestFit="1" customWidth="1"/>
    <col min="46" max="46" width="30.7109375" bestFit="1" customWidth="1"/>
    <col min="50" max="50" width="16" bestFit="1" customWidth="1"/>
  </cols>
  <sheetData>
    <row r="1" spans="1:55">
      <c r="A1" s="67" t="s">
        <v>4</v>
      </c>
      <c r="B1" s="68" t="s">
        <v>6</v>
      </c>
      <c r="C1" s="68" t="s">
        <v>7</v>
      </c>
      <c r="D1" s="68" t="s">
        <v>11</v>
      </c>
      <c r="E1" s="68" t="s">
        <v>82</v>
      </c>
      <c r="F1" s="68" t="s">
        <v>83</v>
      </c>
      <c r="G1" s="68" t="s">
        <v>84</v>
      </c>
      <c r="H1" s="68" t="s">
        <v>85</v>
      </c>
      <c r="I1" s="68" t="s">
        <v>14</v>
      </c>
      <c r="J1" s="68" t="s">
        <v>86</v>
      </c>
      <c r="K1" s="68" t="s">
        <v>20</v>
      </c>
      <c r="L1" s="68" t="s">
        <v>21</v>
      </c>
      <c r="M1" s="68" t="s">
        <v>24</v>
      </c>
      <c r="N1" s="68" t="s">
        <v>26</v>
      </c>
      <c r="O1" s="68" t="s">
        <v>124</v>
      </c>
      <c r="P1" s="68" t="s">
        <v>30</v>
      </c>
      <c r="Q1" s="68" t="s">
        <v>38</v>
      </c>
      <c r="R1" s="68" t="s">
        <v>33</v>
      </c>
      <c r="S1" s="68" t="s">
        <v>36</v>
      </c>
      <c r="T1" s="88" t="s">
        <v>87</v>
      </c>
      <c r="U1" s="89" t="s">
        <v>88</v>
      </c>
      <c r="V1" s="89" t="s">
        <v>89</v>
      </c>
      <c r="W1" s="88" t="s">
        <v>90</v>
      </c>
      <c r="X1" s="88" t="s">
        <v>91</v>
      </c>
      <c r="Y1" s="90" t="s">
        <v>92</v>
      </c>
      <c r="Z1" s="68" t="s">
        <v>125</v>
      </c>
      <c r="AA1" s="68" t="s">
        <v>94</v>
      </c>
      <c r="AB1" s="68" t="s">
        <v>95</v>
      </c>
      <c r="AC1" s="68" t="s">
        <v>96</v>
      </c>
      <c r="AD1" s="68" t="s">
        <v>97</v>
      </c>
      <c r="AE1" s="68" t="s">
        <v>98</v>
      </c>
      <c r="AF1" s="68" t="s">
        <v>99</v>
      </c>
      <c r="AG1" s="68" t="s">
        <v>55</v>
      </c>
      <c r="AH1" s="68" t="s">
        <v>57</v>
      </c>
      <c r="AI1" s="266" t="s">
        <v>126</v>
      </c>
      <c r="AJ1" s="265" t="s">
        <v>127</v>
      </c>
      <c r="AK1" s="265" t="s">
        <v>128</v>
      </c>
      <c r="AL1" s="68" t="s">
        <v>62</v>
      </c>
      <c r="AM1" s="68" t="s">
        <v>64</v>
      </c>
      <c r="AN1" s="68" t="s">
        <v>101</v>
      </c>
      <c r="AO1" s="91" t="s">
        <v>102</v>
      </c>
      <c r="AP1" s="68" t="s">
        <v>69</v>
      </c>
      <c r="AQ1" s="68" t="s">
        <v>71</v>
      </c>
      <c r="AR1" s="347" t="s">
        <v>129</v>
      </c>
      <c r="AS1" s="347" t="s">
        <v>130</v>
      </c>
      <c r="AT1" s="347" t="s">
        <v>131</v>
      </c>
      <c r="BC1" s="23"/>
    </row>
    <row r="2" spans="1:55" s="26" customFormat="1" ht="15" customHeight="1">
      <c r="A2" s="168" t="s">
        <v>132</v>
      </c>
      <c r="B2" s="191" t="s">
        <v>133</v>
      </c>
      <c r="C2" s="191" t="s">
        <v>134</v>
      </c>
      <c r="D2" s="174" t="s">
        <v>135</v>
      </c>
      <c r="E2" s="92" t="s">
        <v>136</v>
      </c>
      <c r="F2" s="92" t="s">
        <v>137</v>
      </c>
      <c r="G2" s="163" t="s">
        <v>138</v>
      </c>
      <c r="H2" s="163" t="s">
        <v>138</v>
      </c>
      <c r="I2" s="163" t="s">
        <v>138</v>
      </c>
      <c r="J2" s="41">
        <v>84</v>
      </c>
      <c r="K2" s="163" t="s">
        <v>138</v>
      </c>
      <c r="L2" s="163" t="s">
        <v>138</v>
      </c>
      <c r="M2" s="163" t="s">
        <v>138</v>
      </c>
      <c r="N2" s="163" t="s">
        <v>138</v>
      </c>
      <c r="O2" s="163" t="s">
        <v>138</v>
      </c>
      <c r="P2" s="92">
        <v>14</v>
      </c>
      <c r="Q2" s="93">
        <v>30</v>
      </c>
      <c r="R2" s="104" t="s">
        <v>139</v>
      </c>
      <c r="S2" s="93" t="s">
        <v>140</v>
      </c>
      <c r="T2" s="12" t="s">
        <v>141</v>
      </c>
      <c r="U2" s="94" t="s">
        <v>138</v>
      </c>
      <c r="V2" s="173" t="s">
        <v>142</v>
      </c>
      <c r="W2" s="12" t="s">
        <v>141</v>
      </c>
      <c r="X2" s="12" t="s">
        <v>138</v>
      </c>
      <c r="Y2" s="9" t="s">
        <v>143</v>
      </c>
      <c r="Z2" s="93" t="s">
        <v>138</v>
      </c>
      <c r="AA2" s="95" t="s">
        <v>144</v>
      </c>
      <c r="AB2" s="313">
        <v>1118.8</v>
      </c>
      <c r="AC2" s="313">
        <v>1118.8</v>
      </c>
      <c r="AD2" s="95">
        <v>32064</v>
      </c>
      <c r="AE2" s="95">
        <v>33564</v>
      </c>
      <c r="AF2" s="95">
        <v>33564</v>
      </c>
      <c r="AG2" s="92" t="s">
        <v>141</v>
      </c>
      <c r="AH2" s="95">
        <v>1000</v>
      </c>
      <c r="AI2" s="181" t="s">
        <v>138</v>
      </c>
      <c r="AJ2" s="181" t="s">
        <v>138</v>
      </c>
      <c r="AK2" s="181" t="s">
        <v>138</v>
      </c>
      <c r="AL2" s="163" t="s">
        <v>145</v>
      </c>
      <c r="AM2" s="42">
        <v>16</v>
      </c>
      <c r="AN2" s="42" t="s">
        <v>138</v>
      </c>
      <c r="AO2" s="92" t="s">
        <v>138</v>
      </c>
      <c r="AP2" s="92" t="s">
        <v>146</v>
      </c>
      <c r="AQ2" s="344" t="s">
        <v>138</v>
      </c>
      <c r="AR2" s="99">
        <v>32064</v>
      </c>
      <c r="AS2" s="95">
        <v>33564</v>
      </c>
      <c r="AT2" s="99">
        <v>33564</v>
      </c>
      <c r="BC2" s="96"/>
    </row>
    <row r="3" spans="1:55" ht="15" customHeight="1">
      <c r="A3" s="88" t="s">
        <v>147</v>
      </c>
      <c r="B3" s="47" t="s">
        <v>148</v>
      </c>
      <c r="C3" s="47" t="s">
        <v>149</v>
      </c>
      <c r="D3" s="189" t="s">
        <v>150</v>
      </c>
      <c r="E3" s="39" t="s">
        <v>151</v>
      </c>
      <c r="F3" s="39" t="s">
        <v>152</v>
      </c>
      <c r="G3" s="79" t="s">
        <v>138</v>
      </c>
      <c r="H3" s="79" t="s">
        <v>138</v>
      </c>
      <c r="I3" s="79" t="s">
        <v>138</v>
      </c>
      <c r="J3" s="79" t="s">
        <v>138</v>
      </c>
      <c r="K3" s="42" t="s">
        <v>138</v>
      </c>
      <c r="L3" s="42" t="s">
        <v>138</v>
      </c>
      <c r="M3" s="42" t="s">
        <v>138</v>
      </c>
      <c r="N3" s="42" t="s">
        <v>138</v>
      </c>
      <c r="O3" s="42" t="s">
        <v>138</v>
      </c>
      <c r="P3" s="39" t="s">
        <v>153</v>
      </c>
      <c r="Q3" s="39">
        <v>36</v>
      </c>
      <c r="R3" s="12" t="s">
        <v>141</v>
      </c>
      <c r="S3" s="171">
        <v>45731</v>
      </c>
      <c r="T3" s="12" t="s">
        <v>141</v>
      </c>
      <c r="U3" s="189" t="s">
        <v>154</v>
      </c>
      <c r="V3" s="47" t="s">
        <v>155</v>
      </c>
      <c r="W3" s="39" t="s">
        <v>139</v>
      </c>
      <c r="X3" s="39" t="s">
        <v>138</v>
      </c>
      <c r="Y3" s="39" t="s">
        <v>138</v>
      </c>
      <c r="Z3" s="39" t="s">
        <v>138</v>
      </c>
      <c r="AA3" s="175">
        <v>327</v>
      </c>
      <c r="AB3" s="186">
        <v>327</v>
      </c>
      <c r="AC3" s="39">
        <v>327</v>
      </c>
      <c r="AD3" s="175">
        <v>11772</v>
      </c>
      <c r="AE3" s="175">
        <v>11772</v>
      </c>
      <c r="AF3" s="175">
        <v>11772</v>
      </c>
      <c r="AG3" s="39" t="s">
        <v>139</v>
      </c>
      <c r="AH3" s="39" t="s">
        <v>139</v>
      </c>
      <c r="AI3" s="181">
        <f>(AD3/SUM($AP3:$AQ3))*12</f>
        <v>1.296</v>
      </c>
      <c r="AJ3" s="181">
        <f t="shared" ref="AJ3:AK3" si="0">(AE3/SUM($AP3:$AQ3))*12</f>
        <v>1.296</v>
      </c>
      <c r="AK3" s="181">
        <f t="shared" si="0"/>
        <v>1.296</v>
      </c>
      <c r="AL3" s="163" t="s">
        <v>145</v>
      </c>
      <c r="AM3" s="39">
        <v>8</v>
      </c>
      <c r="AN3" s="42" t="s">
        <v>138</v>
      </c>
      <c r="AO3" s="54">
        <v>0.94</v>
      </c>
      <c r="AP3" s="177">
        <v>109000</v>
      </c>
      <c r="AQ3" s="268" t="s">
        <v>138</v>
      </c>
      <c r="AR3" s="175">
        <v>11772</v>
      </c>
      <c r="AS3" s="175">
        <v>11772</v>
      </c>
      <c r="AT3" s="175">
        <v>11772</v>
      </c>
    </row>
    <row r="4" spans="1:55" ht="15" customHeight="1">
      <c r="A4" s="88" t="s">
        <v>156</v>
      </c>
      <c r="B4" s="47" t="s">
        <v>157</v>
      </c>
      <c r="C4" s="47" t="s">
        <v>158</v>
      </c>
      <c r="D4" s="189" t="s">
        <v>159</v>
      </c>
      <c r="E4" s="39" t="s">
        <v>160</v>
      </c>
      <c r="F4" s="39" t="s">
        <v>161</v>
      </c>
      <c r="G4" s="79" t="s">
        <v>138</v>
      </c>
      <c r="H4" s="79" t="s">
        <v>138</v>
      </c>
      <c r="I4" s="46">
        <v>3.5</v>
      </c>
      <c r="J4" s="79" t="s">
        <v>138</v>
      </c>
      <c r="K4" s="42" t="s">
        <v>138</v>
      </c>
      <c r="L4" s="42" t="s">
        <v>138</v>
      </c>
      <c r="M4" s="42" t="s">
        <v>138</v>
      </c>
      <c r="N4" s="42" t="s">
        <v>138</v>
      </c>
      <c r="O4" s="42" t="s">
        <v>138</v>
      </c>
      <c r="P4" s="39">
        <v>20</v>
      </c>
      <c r="Q4" s="39">
        <v>36</v>
      </c>
      <c r="R4" s="104" t="s">
        <v>139</v>
      </c>
      <c r="S4" s="171">
        <v>45833</v>
      </c>
      <c r="T4" s="12" t="s">
        <v>141</v>
      </c>
      <c r="U4" s="189" t="s">
        <v>162</v>
      </c>
      <c r="V4" s="47" t="s">
        <v>163</v>
      </c>
      <c r="W4" s="39" t="s">
        <v>139</v>
      </c>
      <c r="X4" s="39" t="s">
        <v>138</v>
      </c>
      <c r="Y4" s="39" t="s">
        <v>138</v>
      </c>
      <c r="Z4" s="39" t="s">
        <v>139</v>
      </c>
      <c r="AA4" s="175">
        <v>703</v>
      </c>
      <c r="AB4" s="175">
        <v>909</v>
      </c>
      <c r="AC4" s="175">
        <v>909</v>
      </c>
      <c r="AD4" s="175" t="s">
        <v>164</v>
      </c>
      <c r="AE4" s="178">
        <v>32727.52</v>
      </c>
      <c r="AF4" s="178">
        <v>32727.52</v>
      </c>
      <c r="AG4" s="39" t="s">
        <v>139</v>
      </c>
      <c r="AH4" s="92" t="s">
        <v>141</v>
      </c>
      <c r="AI4" s="181" t="s">
        <v>138</v>
      </c>
      <c r="AJ4" s="181" t="s">
        <v>138</v>
      </c>
      <c r="AK4" s="181" t="s">
        <v>138</v>
      </c>
      <c r="AL4" s="41">
        <v>1</v>
      </c>
      <c r="AM4" s="39" t="s">
        <v>138</v>
      </c>
      <c r="AN4" s="42" t="s">
        <v>138</v>
      </c>
      <c r="AO4" s="53">
        <v>0.92</v>
      </c>
      <c r="AP4" s="39" t="s">
        <v>138</v>
      </c>
      <c r="AQ4" s="268" t="s">
        <v>138</v>
      </c>
      <c r="AR4" s="175" t="s">
        <v>164</v>
      </c>
      <c r="AS4" s="352">
        <v>32727.52</v>
      </c>
      <c r="AT4" s="352">
        <v>32727.52</v>
      </c>
    </row>
    <row r="5" spans="1:55" ht="15" customHeight="1">
      <c r="A5" s="88" t="s">
        <v>165</v>
      </c>
      <c r="B5" s="47" t="s">
        <v>166</v>
      </c>
      <c r="C5" s="47" t="s">
        <v>167</v>
      </c>
      <c r="D5" s="189" t="s">
        <v>168</v>
      </c>
      <c r="E5" s="39" t="s">
        <v>169</v>
      </c>
      <c r="F5" s="39" t="s">
        <v>170</v>
      </c>
      <c r="G5" s="79" t="s">
        <v>138</v>
      </c>
      <c r="H5" s="79" t="s">
        <v>138</v>
      </c>
      <c r="I5" s="42" t="s">
        <v>138</v>
      </c>
      <c r="J5" s="79" t="s">
        <v>138</v>
      </c>
      <c r="K5" s="42" t="s">
        <v>138</v>
      </c>
      <c r="L5" s="42" t="s">
        <v>138</v>
      </c>
      <c r="M5" s="42" t="s">
        <v>138</v>
      </c>
      <c r="N5" s="42" t="s">
        <v>138</v>
      </c>
      <c r="O5" s="42" t="s">
        <v>138</v>
      </c>
      <c r="P5" s="39" t="s">
        <v>171</v>
      </c>
      <c r="Q5" s="39">
        <v>30</v>
      </c>
      <c r="R5" s="12" t="s">
        <v>141</v>
      </c>
      <c r="S5" s="39" t="s">
        <v>138</v>
      </c>
      <c r="T5" s="12" t="s">
        <v>141</v>
      </c>
      <c r="U5" s="189" t="s">
        <v>172</v>
      </c>
      <c r="V5" s="47" t="s">
        <v>173</v>
      </c>
      <c r="W5" s="12" t="s">
        <v>141</v>
      </c>
      <c r="X5" s="189" t="s">
        <v>174</v>
      </c>
      <c r="Y5" s="39" t="s">
        <v>175</v>
      </c>
      <c r="Z5" s="39" t="s">
        <v>139</v>
      </c>
      <c r="AA5" s="177">
        <v>1225</v>
      </c>
      <c r="AB5" s="177">
        <v>1225</v>
      </c>
      <c r="AC5" s="177">
        <v>1225</v>
      </c>
      <c r="AD5" s="175">
        <v>38000</v>
      </c>
      <c r="AE5" s="175">
        <v>38000</v>
      </c>
      <c r="AF5" s="175">
        <v>38000</v>
      </c>
      <c r="AG5" s="92" t="s">
        <v>141</v>
      </c>
      <c r="AH5" s="92" t="s">
        <v>141</v>
      </c>
      <c r="AI5" s="181">
        <f t="shared" ref="AI5:AI14" si="1">(AD5/SUM(AP5:AQ5))*12</f>
        <v>16.637478108581437</v>
      </c>
      <c r="AJ5" s="181">
        <f t="shared" ref="AJ5:AJ14" si="2">(AE5/SUM($AP5:$AQ5))*12</f>
        <v>16.637478108581437</v>
      </c>
      <c r="AK5" s="181">
        <f t="shared" ref="AK5:AK14" si="3">(AF5/SUM($AP5:$AQ5))*12</f>
        <v>16.637478108581437</v>
      </c>
      <c r="AL5" s="163" t="s">
        <v>145</v>
      </c>
      <c r="AM5" s="39" t="s">
        <v>138</v>
      </c>
      <c r="AN5" s="42" t="s">
        <v>138</v>
      </c>
      <c r="AO5" s="54">
        <v>0.89</v>
      </c>
      <c r="AP5" s="40" t="s">
        <v>176</v>
      </c>
      <c r="AQ5" s="261">
        <v>27408</v>
      </c>
      <c r="AR5" s="261">
        <v>38370</v>
      </c>
      <c r="AS5" s="349">
        <v>38370</v>
      </c>
      <c r="AT5" s="349">
        <v>38370</v>
      </c>
    </row>
    <row r="6" spans="1:55" ht="15" customHeight="1">
      <c r="A6" s="88" t="s">
        <v>177</v>
      </c>
      <c r="B6" s="47" t="s">
        <v>178</v>
      </c>
      <c r="C6" s="47" t="s">
        <v>179</v>
      </c>
      <c r="D6" s="189" t="s">
        <v>180</v>
      </c>
      <c r="E6" s="39" t="s">
        <v>181</v>
      </c>
      <c r="F6" s="39" t="s">
        <v>182</v>
      </c>
      <c r="G6" s="79" t="s">
        <v>138</v>
      </c>
      <c r="H6" s="79" t="s">
        <v>138</v>
      </c>
      <c r="I6" s="42" t="s">
        <v>138</v>
      </c>
      <c r="J6" s="79" t="s">
        <v>138</v>
      </c>
      <c r="K6" s="42" t="s">
        <v>138</v>
      </c>
      <c r="L6" s="42" t="s">
        <v>138</v>
      </c>
      <c r="M6" s="42" t="s">
        <v>138</v>
      </c>
      <c r="N6" s="42" t="s">
        <v>138</v>
      </c>
      <c r="O6" s="42" t="s">
        <v>138</v>
      </c>
      <c r="P6" s="170" t="s">
        <v>183</v>
      </c>
      <c r="Q6" s="39">
        <v>32</v>
      </c>
      <c r="R6" s="12" t="s">
        <v>141</v>
      </c>
      <c r="S6" s="93" t="s">
        <v>140</v>
      </c>
      <c r="T6" s="12" t="s">
        <v>141</v>
      </c>
      <c r="U6" s="189" t="s">
        <v>184</v>
      </c>
      <c r="V6" s="47" t="s">
        <v>185</v>
      </c>
      <c r="W6" s="12" t="s">
        <v>141</v>
      </c>
      <c r="X6" s="189" t="s">
        <v>184</v>
      </c>
      <c r="Y6" s="47" t="s">
        <v>186</v>
      </c>
      <c r="Z6" s="39" t="s">
        <v>139</v>
      </c>
      <c r="AA6" s="175">
        <v>850</v>
      </c>
      <c r="AB6" s="175">
        <v>850</v>
      </c>
      <c r="AC6" s="175">
        <v>850</v>
      </c>
      <c r="AD6" s="48" t="s">
        <v>187</v>
      </c>
      <c r="AE6" s="48" t="s">
        <v>187</v>
      </c>
      <c r="AF6" s="179" t="s">
        <v>187</v>
      </c>
      <c r="AG6" s="92" t="s">
        <v>141</v>
      </c>
      <c r="AH6" s="92" t="s">
        <v>141</v>
      </c>
      <c r="AI6" s="181" t="s">
        <v>138</v>
      </c>
      <c r="AJ6" s="181" t="s">
        <v>138</v>
      </c>
      <c r="AK6" s="181" t="s">
        <v>138</v>
      </c>
      <c r="AL6" s="41">
        <v>10</v>
      </c>
      <c r="AM6" s="39" t="s">
        <v>138</v>
      </c>
      <c r="AN6" s="42" t="s">
        <v>138</v>
      </c>
      <c r="AO6" s="42" t="s">
        <v>138</v>
      </c>
      <c r="AP6" s="175">
        <v>100600</v>
      </c>
      <c r="AQ6" s="268" t="s">
        <v>138</v>
      </c>
      <c r="AR6" s="350" t="s">
        <v>187</v>
      </c>
      <c r="AS6" s="48" t="s">
        <v>187</v>
      </c>
      <c r="AT6" s="48" t="s">
        <v>187</v>
      </c>
    </row>
    <row r="7" spans="1:55" ht="15" customHeight="1">
      <c r="A7" s="88" t="s">
        <v>188</v>
      </c>
      <c r="B7" s="47" t="s">
        <v>189</v>
      </c>
      <c r="C7" s="47" t="s">
        <v>190</v>
      </c>
      <c r="D7" s="189" t="s">
        <v>191</v>
      </c>
      <c r="E7" s="39" t="s">
        <v>192</v>
      </c>
      <c r="F7" s="39" t="s">
        <v>193</v>
      </c>
      <c r="G7" s="79" t="s">
        <v>138</v>
      </c>
      <c r="H7" s="79" t="s">
        <v>138</v>
      </c>
      <c r="I7" s="42" t="s">
        <v>138</v>
      </c>
      <c r="J7" s="79" t="s">
        <v>138</v>
      </c>
      <c r="K7" s="42" t="s">
        <v>138</v>
      </c>
      <c r="L7" s="42" t="s">
        <v>138</v>
      </c>
      <c r="M7" s="42" t="s">
        <v>138</v>
      </c>
      <c r="N7" s="42" t="s">
        <v>138</v>
      </c>
      <c r="O7" s="42" t="s">
        <v>138</v>
      </c>
      <c r="P7" s="39" t="s">
        <v>194</v>
      </c>
      <c r="Q7" s="39">
        <v>36</v>
      </c>
      <c r="R7" s="12" t="s">
        <v>141</v>
      </c>
      <c r="S7" s="39" t="s">
        <v>195</v>
      </c>
      <c r="T7" s="12" t="s">
        <v>141</v>
      </c>
      <c r="U7" s="189" t="s">
        <v>191</v>
      </c>
      <c r="V7" s="47" t="s">
        <v>196</v>
      </c>
      <c r="W7" s="12" t="s">
        <v>141</v>
      </c>
      <c r="X7" s="189" t="s">
        <v>191</v>
      </c>
      <c r="Y7" s="47" t="s">
        <v>197</v>
      </c>
      <c r="Z7" s="39" t="s">
        <v>139</v>
      </c>
      <c r="AA7" s="175">
        <v>1993</v>
      </c>
      <c r="AB7" s="175">
        <v>1993</v>
      </c>
      <c r="AC7" s="175">
        <v>1993</v>
      </c>
      <c r="AD7" s="175">
        <v>71748</v>
      </c>
      <c r="AE7" s="175">
        <v>71748</v>
      </c>
      <c r="AF7" s="175">
        <v>71748</v>
      </c>
      <c r="AG7" s="92" t="s">
        <v>141</v>
      </c>
      <c r="AH7" s="175">
        <v>500</v>
      </c>
      <c r="AI7" s="181">
        <f t="shared" si="1"/>
        <v>6.6807061105722605</v>
      </c>
      <c r="AJ7" s="181">
        <f t="shared" si="2"/>
        <v>6.6807061105722605</v>
      </c>
      <c r="AK7" s="181">
        <f t="shared" si="3"/>
        <v>6.6807061105722605</v>
      </c>
      <c r="AL7" s="41">
        <v>65</v>
      </c>
      <c r="AM7" s="39"/>
      <c r="AN7" s="42" t="s">
        <v>138</v>
      </c>
      <c r="AO7" s="54">
        <v>0.98</v>
      </c>
      <c r="AP7" s="177">
        <v>102875</v>
      </c>
      <c r="AQ7" s="345">
        <v>26000</v>
      </c>
      <c r="AR7" s="351">
        <v>71748</v>
      </c>
      <c r="AS7" s="348">
        <v>71748</v>
      </c>
      <c r="AT7" s="348">
        <v>71748</v>
      </c>
    </row>
    <row r="8" spans="1:55" s="26" customFormat="1" ht="15" customHeight="1">
      <c r="A8" s="169" t="s">
        <v>198</v>
      </c>
      <c r="B8" s="98" t="s">
        <v>199</v>
      </c>
      <c r="C8" s="98" t="s">
        <v>200</v>
      </c>
      <c r="D8" s="190" t="s">
        <v>201</v>
      </c>
      <c r="E8" s="42" t="s">
        <v>202</v>
      </c>
      <c r="F8" s="42" t="s">
        <v>203</v>
      </c>
      <c r="G8" s="79" t="s">
        <v>138</v>
      </c>
      <c r="H8" s="79" t="s">
        <v>138</v>
      </c>
      <c r="I8" s="42" t="s">
        <v>138</v>
      </c>
      <c r="J8" s="79" t="s">
        <v>138</v>
      </c>
      <c r="K8" s="42" t="s">
        <v>138</v>
      </c>
      <c r="L8" s="42" t="s">
        <v>138</v>
      </c>
      <c r="M8" s="42" t="s">
        <v>138</v>
      </c>
      <c r="N8" s="42" t="s">
        <v>138</v>
      </c>
      <c r="O8" s="42" t="s">
        <v>138</v>
      </c>
      <c r="P8" s="42">
        <v>16</v>
      </c>
      <c r="Q8" s="42">
        <v>30</v>
      </c>
      <c r="R8" s="12" t="s">
        <v>141</v>
      </c>
      <c r="S8" s="97" t="s">
        <v>204</v>
      </c>
      <c r="T8" s="12" t="s">
        <v>141</v>
      </c>
      <c r="U8" s="174" t="s">
        <v>205</v>
      </c>
      <c r="V8" s="98" t="s">
        <v>206</v>
      </c>
      <c r="W8" s="12" t="s">
        <v>141</v>
      </c>
      <c r="X8" s="174" t="s">
        <v>207</v>
      </c>
      <c r="Y8" s="98" t="s">
        <v>208</v>
      </c>
      <c r="Z8" s="42" t="s">
        <v>141</v>
      </c>
      <c r="AA8" s="99">
        <v>2332</v>
      </c>
      <c r="AB8" s="99">
        <v>2332</v>
      </c>
      <c r="AC8" s="99">
        <v>2332</v>
      </c>
      <c r="AD8" s="99">
        <v>69960</v>
      </c>
      <c r="AE8" s="99">
        <v>69960</v>
      </c>
      <c r="AF8" s="99">
        <v>69960</v>
      </c>
      <c r="AG8" s="92" t="s">
        <v>141</v>
      </c>
      <c r="AH8" s="99">
        <v>1000</v>
      </c>
      <c r="AI8" s="181">
        <f t="shared" si="1"/>
        <v>6.8115212981744424</v>
      </c>
      <c r="AJ8" s="181">
        <f t="shared" si="2"/>
        <v>6.8115212981744424</v>
      </c>
      <c r="AK8" s="181">
        <f t="shared" si="3"/>
        <v>6.8115212981744424</v>
      </c>
      <c r="AL8" s="163" t="s">
        <v>145</v>
      </c>
      <c r="AM8" s="42" t="s">
        <v>138</v>
      </c>
      <c r="AN8" s="42" t="s">
        <v>138</v>
      </c>
      <c r="AO8" s="180">
        <v>0.7</v>
      </c>
      <c r="AP8" s="100">
        <v>123250</v>
      </c>
      <c r="AQ8" s="346" t="s">
        <v>138</v>
      </c>
      <c r="AR8" s="203">
        <v>71370</v>
      </c>
      <c r="AS8" s="203">
        <v>71370</v>
      </c>
      <c r="AT8" s="203">
        <v>71370</v>
      </c>
    </row>
    <row r="9" spans="1:55" s="26" customFormat="1" ht="15" customHeight="1">
      <c r="A9" s="169" t="s">
        <v>209</v>
      </c>
      <c r="B9" s="98" t="s">
        <v>210</v>
      </c>
      <c r="C9" s="98" t="s">
        <v>211</v>
      </c>
      <c r="D9" s="190" t="s">
        <v>212</v>
      </c>
      <c r="E9" s="42" t="s">
        <v>213</v>
      </c>
      <c r="F9" s="42" t="s">
        <v>214</v>
      </c>
      <c r="G9" s="163" t="s">
        <v>138</v>
      </c>
      <c r="H9" s="163" t="s">
        <v>138</v>
      </c>
      <c r="I9" s="41">
        <v>3.65</v>
      </c>
      <c r="J9" s="163" t="s">
        <v>138</v>
      </c>
      <c r="K9" s="163" t="s">
        <v>138</v>
      </c>
      <c r="L9" s="41">
        <v>54</v>
      </c>
      <c r="M9" s="163" t="s">
        <v>138</v>
      </c>
      <c r="N9" s="102">
        <v>0.46</v>
      </c>
      <c r="O9" s="163" t="s">
        <v>138</v>
      </c>
      <c r="P9" s="42">
        <v>10</v>
      </c>
      <c r="Q9" s="42" t="s">
        <v>215</v>
      </c>
      <c r="R9" s="12" t="s">
        <v>141</v>
      </c>
      <c r="S9" s="97" t="s">
        <v>216</v>
      </c>
      <c r="T9" s="12" t="s">
        <v>141</v>
      </c>
      <c r="U9" s="174" t="s">
        <v>217</v>
      </c>
      <c r="V9" s="98" t="s">
        <v>218</v>
      </c>
      <c r="W9" s="12" t="s">
        <v>141</v>
      </c>
      <c r="X9" s="174" t="s">
        <v>219</v>
      </c>
      <c r="Y9" s="98" t="s">
        <v>220</v>
      </c>
      <c r="Z9" s="42" t="s">
        <v>141</v>
      </c>
      <c r="AA9" s="42" t="s">
        <v>221</v>
      </c>
      <c r="AB9" s="42" t="s">
        <v>222</v>
      </c>
      <c r="AC9" s="42" t="s">
        <v>223</v>
      </c>
      <c r="AD9" s="42" t="s">
        <v>224</v>
      </c>
      <c r="AE9" s="42" t="s">
        <v>225</v>
      </c>
      <c r="AF9" s="42" t="s">
        <v>225</v>
      </c>
      <c r="AG9" s="92" t="s">
        <v>141</v>
      </c>
      <c r="AH9" s="99">
        <v>2000</v>
      </c>
      <c r="AI9" s="181" t="s">
        <v>138</v>
      </c>
      <c r="AJ9" s="181" t="s">
        <v>138</v>
      </c>
      <c r="AK9" s="181" t="s">
        <v>138</v>
      </c>
      <c r="AL9" s="163" t="s">
        <v>145</v>
      </c>
      <c r="AM9" s="42">
        <v>3</v>
      </c>
      <c r="AN9" s="42" t="s">
        <v>138</v>
      </c>
      <c r="AO9" s="53">
        <v>0.94</v>
      </c>
      <c r="AP9" s="103">
        <v>97500</v>
      </c>
      <c r="AQ9" s="346" t="s">
        <v>138</v>
      </c>
      <c r="AR9" s="42" t="s">
        <v>224</v>
      </c>
      <c r="AS9" s="42" t="s">
        <v>225</v>
      </c>
      <c r="AT9" s="42" t="s">
        <v>225</v>
      </c>
    </row>
    <row r="10" spans="1:55" s="26" customFormat="1" ht="15" customHeight="1">
      <c r="A10" s="169" t="s">
        <v>226</v>
      </c>
      <c r="B10" s="98" t="s">
        <v>227</v>
      </c>
      <c r="C10" s="98" t="s">
        <v>228</v>
      </c>
      <c r="D10" s="190" t="s">
        <v>229</v>
      </c>
      <c r="E10" s="42" t="s">
        <v>230</v>
      </c>
      <c r="F10" s="42" t="s">
        <v>231</v>
      </c>
      <c r="G10" s="163" t="s">
        <v>138</v>
      </c>
      <c r="H10" s="163" t="s">
        <v>138</v>
      </c>
      <c r="I10" s="163" t="s">
        <v>138</v>
      </c>
      <c r="J10" s="163" t="s">
        <v>138</v>
      </c>
      <c r="K10" s="163" t="s">
        <v>138</v>
      </c>
      <c r="L10" s="163" t="s">
        <v>138</v>
      </c>
      <c r="M10" s="163" t="s">
        <v>138</v>
      </c>
      <c r="N10" s="163" t="s">
        <v>138</v>
      </c>
      <c r="O10" s="163" t="s">
        <v>138</v>
      </c>
      <c r="P10" s="104">
        <v>14</v>
      </c>
      <c r="Q10" s="104">
        <v>36</v>
      </c>
      <c r="R10" s="104" t="s">
        <v>139</v>
      </c>
      <c r="S10" s="172">
        <v>45922</v>
      </c>
      <c r="T10" s="104" t="s">
        <v>139</v>
      </c>
      <c r="U10" s="104" t="s">
        <v>138</v>
      </c>
      <c r="V10" s="104" t="s">
        <v>138</v>
      </c>
      <c r="W10" s="104" t="s">
        <v>139</v>
      </c>
      <c r="X10" s="104" t="s">
        <v>138</v>
      </c>
      <c r="Y10" s="104" t="s">
        <v>138</v>
      </c>
      <c r="Z10" s="42" t="s">
        <v>138</v>
      </c>
      <c r="AA10" s="99">
        <v>540</v>
      </c>
      <c r="AB10" s="99">
        <v>540</v>
      </c>
      <c r="AC10" s="99">
        <v>540</v>
      </c>
      <c r="AD10" s="99">
        <v>19440</v>
      </c>
      <c r="AE10" s="99">
        <v>19440</v>
      </c>
      <c r="AF10" s="99">
        <v>19440</v>
      </c>
      <c r="AG10" s="42" t="s">
        <v>138</v>
      </c>
      <c r="AH10" s="39" t="s">
        <v>139</v>
      </c>
      <c r="AI10" s="181" t="s">
        <v>138</v>
      </c>
      <c r="AJ10" s="181" t="s">
        <v>138</v>
      </c>
      <c r="AK10" s="181" t="s">
        <v>138</v>
      </c>
      <c r="AL10" s="163" t="s">
        <v>145</v>
      </c>
      <c r="AM10" s="42" t="s">
        <v>138</v>
      </c>
      <c r="AN10" s="42" t="s">
        <v>138</v>
      </c>
      <c r="AO10" s="42" t="s">
        <v>138</v>
      </c>
      <c r="AP10" s="101" t="s">
        <v>138</v>
      </c>
      <c r="AQ10" s="346"/>
      <c r="AR10" s="99">
        <v>19440</v>
      </c>
      <c r="AS10" s="99">
        <v>19440</v>
      </c>
      <c r="AT10" s="99">
        <v>19440</v>
      </c>
    </row>
    <row r="11" spans="1:55" s="26" customFormat="1" ht="15" customHeight="1">
      <c r="A11" s="169" t="s">
        <v>232</v>
      </c>
      <c r="B11" s="98" t="s">
        <v>233</v>
      </c>
      <c r="C11" s="98" t="s">
        <v>149</v>
      </c>
      <c r="D11" s="190" t="s">
        <v>234</v>
      </c>
      <c r="E11" s="42" t="s">
        <v>235</v>
      </c>
      <c r="F11" s="42" t="s">
        <v>137</v>
      </c>
      <c r="G11" s="163" t="s">
        <v>138</v>
      </c>
      <c r="H11" s="163" t="s">
        <v>138</v>
      </c>
      <c r="I11" s="163" t="s">
        <v>138</v>
      </c>
      <c r="J11" s="163" t="s">
        <v>138</v>
      </c>
      <c r="K11" s="163" t="s">
        <v>138</v>
      </c>
      <c r="L11" s="163" t="s">
        <v>138</v>
      </c>
      <c r="M11" s="163" t="s">
        <v>138</v>
      </c>
      <c r="N11" s="163" t="s">
        <v>138</v>
      </c>
      <c r="O11" s="163" t="s">
        <v>138</v>
      </c>
      <c r="P11" s="104" t="s">
        <v>236</v>
      </c>
      <c r="Q11" s="104">
        <v>30</v>
      </c>
      <c r="R11" s="42" t="s">
        <v>139</v>
      </c>
      <c r="S11" s="172">
        <v>45992</v>
      </c>
      <c r="T11" s="104" t="s">
        <v>139</v>
      </c>
      <c r="U11" s="104" t="s">
        <v>138</v>
      </c>
      <c r="V11" s="104" t="s">
        <v>138</v>
      </c>
      <c r="W11" s="104" t="s">
        <v>139</v>
      </c>
      <c r="X11" s="104" t="s">
        <v>138</v>
      </c>
      <c r="Y11" s="104" t="s">
        <v>138</v>
      </c>
      <c r="Z11" s="42" t="s">
        <v>141</v>
      </c>
      <c r="AA11" s="105">
        <v>850</v>
      </c>
      <c r="AB11" s="105">
        <v>850</v>
      </c>
      <c r="AC11" s="105">
        <v>850</v>
      </c>
      <c r="AD11" s="105">
        <v>25500</v>
      </c>
      <c r="AE11" s="105">
        <v>25500</v>
      </c>
      <c r="AF11" s="105">
        <v>25500</v>
      </c>
      <c r="AG11" s="39" t="s">
        <v>139</v>
      </c>
      <c r="AH11" s="42" t="s">
        <v>237</v>
      </c>
      <c r="AI11" s="181" t="s">
        <v>138</v>
      </c>
      <c r="AJ11" s="181" t="s">
        <v>138</v>
      </c>
      <c r="AK11" s="181" t="s">
        <v>138</v>
      </c>
      <c r="AL11" s="163" t="s">
        <v>145</v>
      </c>
      <c r="AM11" s="42"/>
      <c r="AN11" s="42" t="s">
        <v>138</v>
      </c>
      <c r="AO11" s="42" t="s">
        <v>138</v>
      </c>
      <c r="AP11" s="101" t="s">
        <v>138</v>
      </c>
      <c r="AQ11" s="346"/>
      <c r="AR11" s="99">
        <v>25500</v>
      </c>
      <c r="AS11" s="99">
        <v>25500</v>
      </c>
      <c r="AT11" s="99">
        <v>25500</v>
      </c>
    </row>
    <row r="12" spans="1:55" s="26" customFormat="1" ht="15" customHeight="1">
      <c r="A12" s="169" t="s">
        <v>238</v>
      </c>
      <c r="B12" s="98" t="s">
        <v>239</v>
      </c>
      <c r="C12" s="98" t="s">
        <v>240</v>
      </c>
      <c r="D12" s="190" t="s">
        <v>241</v>
      </c>
      <c r="E12" s="42" t="s">
        <v>242</v>
      </c>
      <c r="F12" s="42" t="s">
        <v>137</v>
      </c>
      <c r="G12" s="163" t="s">
        <v>138</v>
      </c>
      <c r="H12" s="163" t="s">
        <v>138</v>
      </c>
      <c r="I12" s="163" t="s">
        <v>138</v>
      </c>
      <c r="J12" s="163" t="s">
        <v>138</v>
      </c>
      <c r="K12" s="163" t="s">
        <v>138</v>
      </c>
      <c r="L12" s="163" t="s">
        <v>138</v>
      </c>
      <c r="M12" s="163" t="s">
        <v>138</v>
      </c>
      <c r="N12" s="163" t="s">
        <v>138</v>
      </c>
      <c r="O12" s="163" t="s">
        <v>138</v>
      </c>
      <c r="P12" s="104">
        <v>24</v>
      </c>
      <c r="Q12" s="104">
        <v>33</v>
      </c>
      <c r="R12" s="104" t="s">
        <v>139</v>
      </c>
      <c r="S12" s="172">
        <v>45668</v>
      </c>
      <c r="T12" s="104" t="s">
        <v>139</v>
      </c>
      <c r="U12" s="104" t="s">
        <v>138</v>
      </c>
      <c r="V12" s="104" t="s">
        <v>138</v>
      </c>
      <c r="W12" s="104" t="s">
        <v>139</v>
      </c>
      <c r="X12" s="104" t="s">
        <v>138</v>
      </c>
      <c r="Y12" s="104" t="s">
        <v>138</v>
      </c>
      <c r="Z12" s="42" t="s">
        <v>138</v>
      </c>
      <c r="AA12" s="105">
        <v>489</v>
      </c>
      <c r="AB12" s="176">
        <v>489</v>
      </c>
      <c r="AC12" s="176">
        <v>489</v>
      </c>
      <c r="AD12" s="105">
        <v>16137</v>
      </c>
      <c r="AE12" s="105">
        <v>16137</v>
      </c>
      <c r="AF12" s="105">
        <v>16137</v>
      </c>
      <c r="AG12" s="42" t="s">
        <v>243</v>
      </c>
      <c r="AH12" s="42" t="s">
        <v>139</v>
      </c>
      <c r="AI12" s="181" t="s">
        <v>138</v>
      </c>
      <c r="AJ12" s="181" t="s">
        <v>138</v>
      </c>
      <c r="AK12" s="181" t="s">
        <v>138</v>
      </c>
      <c r="AL12" s="163" t="s">
        <v>145</v>
      </c>
      <c r="AM12" s="42" t="s">
        <v>138</v>
      </c>
      <c r="AN12" s="42" t="s">
        <v>138</v>
      </c>
      <c r="AO12" s="42" t="s">
        <v>138</v>
      </c>
      <c r="AP12" s="328" t="s">
        <v>138</v>
      </c>
      <c r="AQ12" s="346" t="s">
        <v>138</v>
      </c>
      <c r="AR12" s="105">
        <v>16137</v>
      </c>
      <c r="AS12" s="105">
        <v>16137</v>
      </c>
      <c r="AT12" s="105">
        <v>16137</v>
      </c>
    </row>
    <row r="13" spans="1:55" s="26" customFormat="1" ht="15" customHeight="1">
      <c r="A13" s="169" t="s">
        <v>244</v>
      </c>
      <c r="B13" s="98" t="s">
        <v>245</v>
      </c>
      <c r="C13" s="98" t="s">
        <v>246</v>
      </c>
      <c r="D13" s="190" t="s">
        <v>247</v>
      </c>
      <c r="E13" s="42" t="s">
        <v>248</v>
      </c>
      <c r="F13" s="42" t="s">
        <v>249</v>
      </c>
      <c r="G13" s="163" t="s">
        <v>138</v>
      </c>
      <c r="H13" s="163" t="s">
        <v>138</v>
      </c>
      <c r="I13" s="163" t="s">
        <v>138</v>
      </c>
      <c r="J13" s="163" t="s">
        <v>138</v>
      </c>
      <c r="K13" s="163" t="s">
        <v>138</v>
      </c>
      <c r="L13" s="163" t="s">
        <v>138</v>
      </c>
      <c r="M13" s="163" t="s">
        <v>138</v>
      </c>
      <c r="N13" s="163" t="s">
        <v>138</v>
      </c>
      <c r="O13" s="163" t="s">
        <v>138</v>
      </c>
      <c r="P13" s="104">
        <v>12</v>
      </c>
      <c r="Q13" s="104">
        <v>30</v>
      </c>
      <c r="R13" s="12" t="s">
        <v>141</v>
      </c>
      <c r="S13" s="97" t="s">
        <v>138</v>
      </c>
      <c r="T13" s="42" t="s">
        <v>141</v>
      </c>
      <c r="U13" s="174" t="s">
        <v>247</v>
      </c>
      <c r="V13" s="98" t="s">
        <v>250</v>
      </c>
      <c r="W13" s="42" t="s">
        <v>139</v>
      </c>
      <c r="X13" s="42" t="s">
        <v>138</v>
      </c>
      <c r="Y13" s="42" t="s">
        <v>138</v>
      </c>
      <c r="Z13" s="42" t="s">
        <v>138</v>
      </c>
      <c r="AA13" s="105">
        <v>1050</v>
      </c>
      <c r="AB13" s="105">
        <v>1050</v>
      </c>
      <c r="AC13" s="105">
        <v>1050</v>
      </c>
      <c r="AD13" s="99">
        <v>31500</v>
      </c>
      <c r="AE13" s="99">
        <v>31500</v>
      </c>
      <c r="AF13" s="99">
        <v>31500</v>
      </c>
      <c r="AG13" s="92" t="s">
        <v>141</v>
      </c>
      <c r="AH13" s="99">
        <v>300</v>
      </c>
      <c r="AI13" s="181" t="s">
        <v>138</v>
      </c>
      <c r="AJ13" s="181" t="s">
        <v>138</v>
      </c>
      <c r="AK13" s="181" t="s">
        <v>138</v>
      </c>
      <c r="AL13" s="163" t="s">
        <v>145</v>
      </c>
      <c r="AM13" s="42" t="s">
        <v>138</v>
      </c>
      <c r="AN13" s="42" t="s">
        <v>138</v>
      </c>
      <c r="AO13" s="42" t="s">
        <v>138</v>
      </c>
      <c r="AP13" s="328" t="s">
        <v>138</v>
      </c>
      <c r="AQ13" s="346"/>
      <c r="AR13" s="99">
        <v>31500</v>
      </c>
      <c r="AS13" s="99">
        <v>31500</v>
      </c>
      <c r="AT13" s="99">
        <v>31500</v>
      </c>
    </row>
    <row r="14" spans="1:55" s="26" customFormat="1" ht="15" customHeight="1">
      <c r="A14" s="169" t="s">
        <v>251</v>
      </c>
      <c r="B14" s="98" t="s">
        <v>252</v>
      </c>
      <c r="C14" s="98" t="s">
        <v>253</v>
      </c>
      <c r="D14" s="190" t="s">
        <v>254</v>
      </c>
      <c r="E14" s="42" t="s">
        <v>255</v>
      </c>
      <c r="F14" s="42" t="s">
        <v>256</v>
      </c>
      <c r="G14" s="79" t="s">
        <v>138</v>
      </c>
      <c r="H14" s="79" t="s">
        <v>138</v>
      </c>
      <c r="I14" s="42">
        <v>3.23</v>
      </c>
      <c r="J14" s="42">
        <v>156</v>
      </c>
      <c r="K14" s="42">
        <v>37</v>
      </c>
      <c r="L14" s="42">
        <v>248</v>
      </c>
      <c r="M14" s="79" t="s">
        <v>138</v>
      </c>
      <c r="N14" s="53">
        <v>0.33</v>
      </c>
      <c r="O14" s="79" t="s">
        <v>138</v>
      </c>
      <c r="P14" s="104">
        <v>12</v>
      </c>
      <c r="Q14" s="104">
        <v>15</v>
      </c>
      <c r="R14" s="12" t="s">
        <v>141</v>
      </c>
      <c r="S14" s="97" t="s">
        <v>257</v>
      </c>
      <c r="T14" s="42" t="s">
        <v>139</v>
      </c>
      <c r="U14" s="42" t="s">
        <v>138</v>
      </c>
      <c r="V14" s="42" t="s">
        <v>138</v>
      </c>
      <c r="W14" s="42" t="s">
        <v>139</v>
      </c>
      <c r="X14" s="42" t="s">
        <v>138</v>
      </c>
      <c r="Y14" s="187" t="s">
        <v>138</v>
      </c>
      <c r="Z14" s="42" t="s">
        <v>138</v>
      </c>
      <c r="AA14" s="99">
        <v>2250</v>
      </c>
      <c r="AB14" s="99">
        <v>2250</v>
      </c>
      <c r="AC14" s="99">
        <v>2250</v>
      </c>
      <c r="AD14" s="99">
        <v>22500</v>
      </c>
      <c r="AE14" s="99">
        <v>22500</v>
      </c>
      <c r="AF14" s="99">
        <v>22500</v>
      </c>
      <c r="AG14" s="92" t="s">
        <v>141</v>
      </c>
      <c r="AH14" s="99">
        <v>500</v>
      </c>
      <c r="AI14" s="181">
        <f t="shared" si="1"/>
        <v>2.9976019184652278</v>
      </c>
      <c r="AJ14" s="181">
        <f t="shared" si="2"/>
        <v>2.9976019184652278</v>
      </c>
      <c r="AK14" s="181">
        <f t="shared" si="3"/>
        <v>2.9976019184652278</v>
      </c>
      <c r="AL14" s="163" t="s">
        <v>145</v>
      </c>
      <c r="AM14" s="42">
        <v>11</v>
      </c>
      <c r="AN14" s="42" t="s">
        <v>138</v>
      </c>
      <c r="AO14" s="42" t="s">
        <v>138</v>
      </c>
      <c r="AP14" s="329">
        <v>90072</v>
      </c>
      <c r="AQ14" s="346" t="s">
        <v>138</v>
      </c>
      <c r="AR14" s="99">
        <v>22500</v>
      </c>
      <c r="AS14" s="99">
        <v>22500</v>
      </c>
      <c r="AT14" s="99">
        <v>22500</v>
      </c>
    </row>
    <row r="15" spans="1:55" s="26" customFormat="1" ht="15" customHeight="1">
      <c r="A15" s="169" t="s">
        <v>258</v>
      </c>
      <c r="B15" s="98" t="s">
        <v>259</v>
      </c>
      <c r="C15" s="98" t="s">
        <v>260</v>
      </c>
      <c r="D15" s="190" t="s">
        <v>261</v>
      </c>
      <c r="E15" s="42" t="s">
        <v>262</v>
      </c>
      <c r="F15" s="42" t="s">
        <v>263</v>
      </c>
      <c r="G15" s="163" t="s">
        <v>138</v>
      </c>
      <c r="H15" s="41">
        <v>312</v>
      </c>
      <c r="I15" s="41">
        <v>3.48</v>
      </c>
      <c r="J15" s="163" t="s">
        <v>138</v>
      </c>
      <c r="K15" s="41">
        <v>30</v>
      </c>
      <c r="L15" s="163" t="s">
        <v>138</v>
      </c>
      <c r="M15" s="163" t="s">
        <v>138</v>
      </c>
      <c r="N15" s="163" t="s">
        <v>138</v>
      </c>
      <c r="O15" s="163" t="s">
        <v>138</v>
      </c>
      <c r="P15" s="104">
        <v>10</v>
      </c>
      <c r="Q15" s="104">
        <v>31.5</v>
      </c>
      <c r="R15" s="104" t="s">
        <v>139</v>
      </c>
      <c r="S15" s="172">
        <v>45858</v>
      </c>
      <c r="T15" s="12" t="s">
        <v>141</v>
      </c>
      <c r="U15" s="190" t="s">
        <v>264</v>
      </c>
      <c r="V15" s="98" t="s">
        <v>265</v>
      </c>
      <c r="W15" s="12" t="s">
        <v>141</v>
      </c>
      <c r="X15" s="42" t="s">
        <v>138</v>
      </c>
      <c r="Y15" s="187" t="s">
        <v>138</v>
      </c>
      <c r="Z15" s="42" t="s">
        <v>138</v>
      </c>
      <c r="AA15" s="99">
        <v>968</v>
      </c>
      <c r="AB15" s="99">
        <v>987</v>
      </c>
      <c r="AC15" s="99">
        <v>987</v>
      </c>
      <c r="AD15" s="106">
        <v>30504.240000000002</v>
      </c>
      <c r="AE15" s="106">
        <v>31104.240000000002</v>
      </c>
      <c r="AF15" s="106">
        <v>31104.240000000002</v>
      </c>
      <c r="AG15" s="42" t="s">
        <v>138</v>
      </c>
      <c r="AH15" s="99">
        <v>1000</v>
      </c>
      <c r="AI15" s="181" t="s">
        <v>138</v>
      </c>
      <c r="AJ15" s="181" t="s">
        <v>138</v>
      </c>
      <c r="AK15" s="181" t="s">
        <v>138</v>
      </c>
      <c r="AL15" s="41">
        <v>5</v>
      </c>
      <c r="AM15" s="42" t="s">
        <v>138</v>
      </c>
      <c r="AN15" s="42" t="s">
        <v>138</v>
      </c>
      <c r="AO15" s="42" t="s">
        <v>138</v>
      </c>
      <c r="AP15" s="328" t="s">
        <v>138</v>
      </c>
      <c r="AQ15" s="346" t="s">
        <v>138</v>
      </c>
      <c r="AR15" s="46" t="s">
        <v>266</v>
      </c>
      <c r="AS15" s="46" t="s">
        <v>267</v>
      </c>
      <c r="AT15" s="46" t="s">
        <v>268</v>
      </c>
    </row>
    <row r="16" spans="1:55">
      <c r="AM16" s="26"/>
      <c r="AN16" s="27"/>
    </row>
    <row r="17" ht="36.950000000000003" customHeight="1"/>
  </sheetData>
  <hyperlinks>
    <hyperlink ref="A9" r:id="rId1" display="University of Michigan Ross School of Business " xr:uid="{49412E86-DE64-4093-99FD-C07BE93FC70D}"/>
    <hyperlink ref="A10" r:id="rId2" display="Southern Illinois University Carbondale" xr:uid="{E8CC09EB-75A0-44CE-8DE5-69079F94549E}"/>
    <hyperlink ref="A11" r:id="rId3" display="Indiana University Kelly School of Business " xr:uid="{5BC3F374-5E18-4AAC-88C1-6066A5AE9991}"/>
    <hyperlink ref="A12" r:id="rId4" display="Ball State University Ball State Online" xr:uid="{67B432C3-2F0F-4368-81FF-E334F27838E9}"/>
    <hyperlink ref="A13" r:id="rId5" display="Rutgers Camden School of Business" xr:uid="{FCEC7D38-DB95-49D3-B0C5-BBEF95A88D1C}"/>
    <hyperlink ref="A14" r:id="rId6" display="The University of Iowa- Tippie College of Business" xr:uid="{F9F417D6-D25B-42E4-B590-F0B47A28A0EF}"/>
    <hyperlink ref="A15" r:id="rId7" xr:uid="{B46EF733-9421-4129-B1F7-8386582BBF44}"/>
    <hyperlink ref="D10" r:id="rId8" display="https://onlinedegrees.siu.edu/online/bus-all-sap1-230104/?lsid=google&amp;lssid=siu_all_all_x_sr_gen&amp;utm_source=google&amp;utm_medium=cpc&amp;utm_term=siu%20masters%20online&amp;utm_content=General&amp;groupid=163010202920&amp;utm_campaign=siu_all_all_x_sr_gen-B-X-X-X-ALL&amp;campid=21154911326&amp;type=p&amp;network=g&amp;device=c&amp;adid=695601446588&amp;ptid=&amp;ad_pos=&amp;fdid=&amp;tgid=kwd-2294181698600&amp;lphys=9016722&amp;linst=&amp;model=&amp;sitetarg=&amp;gclid=CjwKCAjw0aS3BhA3EiwAKaD2ZSdZE0HRhzOXkn-tgFoLINwWwegm9Bloomington2m7O_vYxTNbiR_gXHl4PWLbThoCu3wQAvD_BwE&amp;gad_source=1" xr:uid="{AB753C1F-413B-3442-9E4B-E85D4529067D}"/>
    <hyperlink ref="D11" r:id="rId9" xr:uid="{C4D3576B-BD67-0F47-8337-64C967DFBFED}"/>
    <hyperlink ref="D13" r:id="rId10" xr:uid="{4E8A3D60-9B1F-C24A-A3E1-11D364AC0BB2}"/>
    <hyperlink ref="D14" r:id="rId11" xr:uid="{E6E053BC-09AE-4549-847B-B3717791B9A6}"/>
    <hyperlink ref="D12" r:id="rId12" xr:uid="{930C1CBD-B334-42FC-8E7E-A5627038EBE7}"/>
    <hyperlink ref="D8" r:id="rId13" xr:uid="{22FCECD0-7308-9C44-A144-A686462CDBE4}"/>
    <hyperlink ref="D2" r:id="rId14" xr:uid="{44A69A52-2980-854D-83EB-E3A1082BC87B}"/>
    <hyperlink ref="U8" r:id="rId15" xr:uid="{DEFC1AE6-4104-4D8C-A144-7AA17E3C24C1}"/>
    <hyperlink ref="J2" r:id="rId16" location=":~:text=Online%20MS%20Business%20Analytics%20Class,California%3B%20Florida%3B%20Illinois" display="84" xr:uid="{0C7B672F-99DC-4338-A350-20FDA0F3D84D}"/>
    <hyperlink ref="X8" r:id="rId17" xr:uid="{AAF56281-7AA9-43AB-B70E-F3EE111EE2E9}"/>
    <hyperlink ref="D9" r:id="rId18" xr:uid="{FE7A6DF4-72F5-4DE1-B4E0-6B324656B3E3}"/>
    <hyperlink ref="U9" r:id="rId19" xr:uid="{AE37D065-FF2E-4401-897A-0849C8B9EB44}"/>
    <hyperlink ref="X9" r:id="rId20" xr:uid="{8497F2FF-B31F-4DE6-A8CC-76EE13A3366E}"/>
    <hyperlink ref="U13" r:id="rId21" xr:uid="{4F5134CB-8F53-4E8E-A967-B73DF86B7E90}"/>
    <hyperlink ref="AE12" r:id="rId22" display="$16,137 " xr:uid="{F600B886-09AA-4590-9784-41E63BFA0102}"/>
    <hyperlink ref="AF12" r:id="rId23" display="$16,137 " xr:uid="{9BC16A5F-5798-4592-8685-CD856746F0CD}"/>
    <hyperlink ref="AD12" r:id="rId24" display="$16,137 " xr:uid="{884E2921-EF4E-4F04-B915-5B4C59247642}"/>
    <hyperlink ref="AC12" r:id="rId25" display="$489 " xr:uid="{CD352752-0E84-4ABF-9E2C-A9C13BC76856}"/>
    <hyperlink ref="AB12" r:id="rId26" display="$489 " xr:uid="{1AEBA771-89FC-4E8D-A6D3-49300A4B3F71}"/>
    <hyperlink ref="AA12" r:id="rId27" display="$489 " xr:uid="{E6237E29-5C7F-45BE-9EAA-8A5BE43A03CA}"/>
    <hyperlink ref="AA13" r:id="rId28" location=":~:text=On%20Campus%20MBA%20and%20On,Fees%20Online%20MBA%20and%20Certificates" display="$1,050 " xr:uid="{967D1960-64EC-49DD-8423-0BF39520AB95}"/>
    <hyperlink ref="AB13" r:id="rId29" location=":~:text=On%20Campus%20MBA%20and%20On,Fees%20Online%20MBA%20and%20Certificates" display="$1,050 " xr:uid="{B11AC662-94AF-4F3E-985F-92555857AFB8}"/>
    <hyperlink ref="AC13" r:id="rId30" location=":~:text=On%20Campus%20MBA%20and%20On,Fees%20Online%20MBA%20and%20Certificates" display="$1,050 " xr:uid="{00764FC7-7DE9-4851-9D7C-9A656247C13F}"/>
    <hyperlink ref="I15" r:id="rId31" display="3.48" xr:uid="{D715D93E-9755-487F-B9D4-2CC8D1D9DC13}"/>
    <hyperlink ref="K15" r:id="rId32" display="30" xr:uid="{FBB5444C-0307-4B98-84D8-CC510EE5621B}"/>
    <hyperlink ref="H15" r:id="rId33" display="312" xr:uid="{2E7464EC-C665-4F96-B13D-0FFA8146B2BC}"/>
    <hyperlink ref="U15" r:id="rId34" xr:uid="{13D32A56-F3DF-4013-AEA1-82430973BD5C}"/>
    <hyperlink ref="AA11" r:id="rId35" location=":~:text=Work%20Experience%3A%20At%20least%20two,of%20work%20experience%20is%20required" display="$1,300 " xr:uid="{432A4C6F-047B-4B0E-BBA2-25410596AF94}"/>
    <hyperlink ref="AB11" r:id="rId36" location=":~:text=Work%20Experience%3A%20At%20least%20two,of%20work%20experience%20is%20required" display="$1,300 " xr:uid="{14E72989-7469-4AA6-9EB4-176D6A2128E5}"/>
    <hyperlink ref="AC11" r:id="rId37" location=":~:text=Work%20Experience%3A%20At%20least%20two,of%20work%20experience%20is%20required" display="$1,300 " xr:uid="{DB9B7E3C-A87B-40B7-915F-BFD665844C47}"/>
    <hyperlink ref="AD11" r:id="rId38" location=":~:text=Work%20Experience%3A%20At%20least%20two,of%20work%20experience%20is%20required" display="$39,000 " xr:uid="{1C2EDC66-8ECF-45A1-B387-5E1E8B598F40}"/>
    <hyperlink ref="AE11" r:id="rId39" location=":~:text=Work%20Experience%3A%20At%20least%20two,of%20work%20experience%20is%20required" display="$39,000 " xr:uid="{C05CD74D-7BD2-42F0-979D-F8EFCD77C52D}"/>
    <hyperlink ref="AF11" r:id="rId40" location=":~:text=Work%20Experience%3A%20At%20least%20two,of%20work%20experience%20is%20required" display="$39,000 " xr:uid="{804BE536-9E47-4610-A83B-D3417C4E7848}"/>
    <hyperlink ref="AP8" r:id="rId41" location=":~:text=reported%20top%20career%20outcomes%20in,average%20salary%20increase%20of%2030" display="https://msb.georgetown.edu/news-story/career/georgetown-business-analytics-graduates-land-top-careers-in-financial-services-consulting-and-technology/ - :~:text=reported%20top%20career%20outcomes%20in,average%20salary%20increase%20of%2030" xr:uid="{72FFF2B6-C865-44F1-9483-FECE77E8A16D}"/>
    <hyperlink ref="D3" r:id="rId42" xr:uid="{E113EFBB-C2C1-4D1B-A1B3-06871A286CA5}"/>
    <hyperlink ref="U3" r:id="rId43" location=":~:text=Six" xr:uid="{A1D2C9BB-A101-45BD-82D8-78E249004F7E}"/>
    <hyperlink ref="AO3" r:id="rId44" location=":~:text=2022%20Employment%20Statistics" display="94%" xr:uid="{5BF356E0-DD3C-4817-9099-358B85AA3B3A}"/>
    <hyperlink ref="AP3" r:id="rId45" location=":~:text=2022%20Employment%20Statistics" display="$109,000 " xr:uid="{CFECB710-6606-4CA9-A73D-F1D14C30AD10}"/>
    <hyperlink ref="D4" r:id="rId46" location=":~:text=,online%20at%20my%20own%20pace" xr:uid="{573D6F30-94FF-4E80-B38C-47C046E36A8A}"/>
    <hyperlink ref="I4" r:id="rId47" location=":~:text=Work%20Experience%3A%20We%20require%20a,the%20term%20they%E2%80%99re%20applying%20for" display="3.5" xr:uid="{E54A6ABF-0D19-47B5-A4E7-289B4554C718}"/>
    <hyperlink ref="U4" r:id="rId48" location=":~:text=Hands" xr:uid="{214C570F-04B8-461F-86C5-75A3A43850A1}"/>
    <hyperlink ref="D5" r:id="rId49" location=":~:text=Designed%20specifically%20for%20students%20without,from%20all%20over%20the%20world" xr:uid="{509906E2-C802-416C-9DEF-171A4FA7D43B}"/>
    <hyperlink ref="U5" r:id="rId50" xr:uid="{B5D52F4D-FA23-4641-9234-C60D8E58E4C1}"/>
    <hyperlink ref="X5" r:id="rId51" xr:uid="{8C5A147C-9369-43D1-A7A1-BFB5FFF438A9}"/>
    <hyperlink ref="AA5" r:id="rId52" location=":~:text=" display="https://online.seas.upenn.edu/degrees/tuition-financial-aid/ - :~:text=" xr:uid="{6FEF5EEE-CD85-4848-97DB-FC3CBDEC4153}"/>
    <hyperlink ref="AB5" r:id="rId53" location=":~:text=" display="https://online.seas.upenn.edu/degrees/tuition-financial-aid/ - :~:text=" xr:uid="{2E5B0B26-EF96-43E4-95E6-64C5E3686A7C}"/>
    <hyperlink ref="AC5" r:id="rId54" location=":~:text=" display="https://online.seas.upenn.edu/degrees/tuition-financial-aid/ - :~:text=" xr:uid="{9DCD8A62-516D-4C53-A103-7B331A499693}"/>
    <hyperlink ref="AO5" r:id="rId55" location=":~:text=Continuing%20Education%3A%2016%20Other%3A%204,402%20known%20outcomes" display="89%" xr:uid="{5D6C8B6A-5D66-42AD-A8B5-409E910D98D7}"/>
    <hyperlink ref="AP5" r:id="rId56" location=":~:text=Continuing%20Education%3A%2016%20Other%3A%204,402%20known%20outcomes" xr:uid="{CFC16F52-8D0D-4EEB-B643-8A27027A0A64}"/>
    <hyperlink ref="D6" r:id="rId57" location=":~:text=,Time%20Study%2A%3A%20%2427%2C204%E2%80%93%2428%2C956" xr:uid="{01833842-D46B-442E-B8A2-55A9EE92E86C}"/>
    <hyperlink ref="U6" r:id="rId58" location=":~:text=,Project%20in%20Applied%20Business%20Analytics" xr:uid="{11CBB403-7733-4EF0-BD5A-8042CA4436C6}"/>
    <hyperlink ref="X6" r:id="rId59" location=":~:text=,Project%20in%20Applied%20Business%20Analytics" xr:uid="{72B47D09-36CB-4F2F-BE75-999CCD1AE67D}"/>
    <hyperlink ref="AD6" r:id="rId60" location=":~:text=,Time%20Study%2A%3A%20%2427%2C204%E2%80%93%2428%2C956" xr:uid="{72FFB54B-C8DA-4E34-8842-C5BF739D7D67}"/>
    <hyperlink ref="AE6" r:id="rId61" location=":~:text=,Time%20Study%2A%3A%20%2427%2C204%E2%80%93%2428%2C956" xr:uid="{8770905F-F0D6-42E5-9B63-7B0ABED15755}"/>
    <hyperlink ref="AF6" r:id="rId62" location=":~:text=,Time%20Study%2A%3A%20%2427%2C204%E2%80%93%2428%2C956" xr:uid="{A2DFF0F7-AF8E-45E0-BD50-D98C0EEF9FD2}"/>
    <hyperlink ref="D7" r:id="rId63" xr:uid="{0A03CFBC-975B-4A16-961F-65E9EB14A2B8}"/>
    <hyperlink ref="U7" r:id="rId64" xr:uid="{EA5B6CA9-1EEF-45A7-8DF5-6BAD39547D67}"/>
    <hyperlink ref="X7" r:id="rId65" xr:uid="{6DF9F08B-17E9-4D22-A8E8-6B72097B00B0}"/>
    <hyperlink ref="AL7" r:id="rId66" display="https://www.stevens.edu/program/business-intelligence-analytics-masters-program" xr:uid="{992F350E-58AD-4AD5-A08D-36DC3AB11480}"/>
    <hyperlink ref="AP7" r:id="rId67" display="$102,875 " xr:uid="{0A80B883-D5A7-44C1-87AE-6417935824A8}"/>
    <hyperlink ref="AO7" r:id="rId68" display="98%" xr:uid="{F129B3F5-24C1-4010-BFC5-ABB2C23C3411}"/>
    <hyperlink ref="AQ7" r:id="rId69" display="$26,000 " xr:uid="{F71B9BFF-BCFD-46DB-9DB1-0BC4A36F1A2A}"/>
    <hyperlink ref="D15" r:id="rId70" xr:uid="{54C63FCD-316A-4C42-812B-F5EDADDBBB6B}"/>
    <hyperlink ref="AR6" r:id="rId71" location=":~:text=,Time%20Study%2A%3A%20%2427%2C204%E2%80%93%2428%2C956" xr:uid="{C65273EA-AC93-45DA-A633-8E4575E6B1DE}"/>
    <hyperlink ref="AS6" r:id="rId72" location=":~:text=,Time%20Study%2A%3A%20%2427%2C204%E2%80%93%2428%2C956" xr:uid="{BFADF1C1-6460-491B-9FE3-F846F824A2C7}"/>
    <hyperlink ref="AT6" r:id="rId73" location=":~:text=,Time%20Study%2A%3A%20%2427%2C204%E2%80%93%2428%2C956" xr:uid="{3A80C586-3758-4FB9-8BBE-820C317F5B86}"/>
    <hyperlink ref="AR7" r:id="rId74" location="2025-2026-undergraduate-tuition-and-fees" display="$71,748 " xr:uid="{CB0F1C28-D045-4EFD-AC67-9E1535462265}"/>
    <hyperlink ref="AS7" r:id="rId75" location="2025-2026-undergraduate-tuition-and-fees" display="$71,748 " xr:uid="{E9B79985-CCA2-4D6D-89D7-A8786212A55D}"/>
    <hyperlink ref="AT7" r:id="rId76" location="2025-2026-undergraduate-tuition-and-fees" display="$71,748 " xr:uid="{8874DA04-3CB0-4752-A754-90B0E073617F}"/>
    <hyperlink ref="AR8" r:id="rId77" display="$71,370 " xr:uid="{347A09E9-6DB1-43A9-B721-54E80349BE46}"/>
    <hyperlink ref="AS8" r:id="rId78" display="$71,370 " xr:uid="{AF3CD01B-B9A9-4B79-BE92-38A75B1C0216}"/>
    <hyperlink ref="AT8" r:id="rId79" display="$71,370 " xr:uid="{278B98BD-8E4F-4D96-99A3-A1BC2B0D0F4C}"/>
    <hyperlink ref="AS12" r:id="rId80" display="$16,137 " xr:uid="{F678250E-38D2-43F2-B113-14A071AE82A0}"/>
    <hyperlink ref="AT12" r:id="rId81" display="$16,137 " xr:uid="{BB96F571-8A9A-4FEA-9283-162A3B887CD2}"/>
    <hyperlink ref="AR12" r:id="rId82" display="$16,137 " xr:uid="{FE1752BF-62C8-4004-8C6B-D785745ADD48}"/>
    <hyperlink ref="AR15" r:id="rId83" xr:uid="{57116452-5EE4-4AA5-99C3-C5505AC775C4}"/>
    <hyperlink ref="AS15" r:id="rId84" xr:uid="{15BDFF5F-C23E-4150-9E32-1AEC47FBFC89}"/>
    <hyperlink ref="AT15" r:id="rId85" xr:uid="{CA2729B9-F6C5-4665-850C-CFD198AB1441}"/>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48B6-C68B-43EE-B0AD-61C87F4D9DDC}">
  <sheetPr>
    <tabColor theme="4" tint="0.59999389629810485"/>
  </sheetPr>
  <dimension ref="A1:BE10"/>
  <sheetViews>
    <sheetView zoomScale="81" zoomScaleNormal="140" workbookViewId="0">
      <pane xSplit="1" ySplit="1" topLeftCell="AK2" activePane="bottomRight" state="frozen"/>
      <selection pane="bottomRight" activeCell="AT1" sqref="AT1:AV1"/>
      <selection pane="bottomLeft" activeCell="A2" sqref="A2"/>
      <selection pane="topRight" activeCell="B1" sqref="B1"/>
    </sheetView>
  </sheetViews>
  <sheetFormatPr defaultColWidth="8.85546875" defaultRowHeight="36" customHeight="1"/>
  <cols>
    <col min="1" max="1" width="28.85546875" style="134" bestFit="1" customWidth="1"/>
    <col min="2" max="2" width="34.28515625" style="26" customWidth="1"/>
    <col min="3" max="3" width="38.42578125" style="26" customWidth="1"/>
    <col min="4" max="4" width="30.28515625" style="26" customWidth="1"/>
    <col min="5" max="5" width="14.42578125" style="26" bestFit="1" customWidth="1"/>
    <col min="6" max="6" width="14.85546875" style="26" bestFit="1" customWidth="1"/>
    <col min="7" max="7" width="14.42578125" style="26" bestFit="1" customWidth="1"/>
    <col min="8" max="8" width="15.42578125" style="26" customWidth="1"/>
    <col min="9" max="9" width="26.42578125" style="26" customWidth="1"/>
    <col min="10" max="10" width="24.140625" style="26" bestFit="1" customWidth="1"/>
    <col min="11" max="11" width="19.7109375" style="26" bestFit="1" customWidth="1"/>
    <col min="12" max="12" width="10.42578125" style="26" customWidth="1"/>
    <col min="13" max="13" width="20.28515625" style="26" bestFit="1" customWidth="1"/>
    <col min="14" max="14" width="13.7109375" style="26" customWidth="1"/>
    <col min="15" max="15" width="15.140625" style="26" customWidth="1"/>
    <col min="16" max="16" width="19.42578125" style="26" bestFit="1" customWidth="1"/>
    <col min="17" max="17" width="12.140625" style="26" bestFit="1" customWidth="1"/>
    <col min="18" max="18" width="19.28515625" style="26" customWidth="1"/>
    <col min="19" max="19" width="16.42578125" style="26" customWidth="1"/>
    <col min="20" max="20" width="50.140625" style="26" bestFit="1" customWidth="1"/>
    <col min="21" max="21" width="31.42578125" style="26" customWidth="1"/>
    <col min="22" max="22" width="60.85546875" style="26" customWidth="1"/>
    <col min="23" max="23" width="19.140625" style="26" bestFit="1" customWidth="1"/>
    <col min="24" max="24" width="16" style="26" bestFit="1" customWidth="1"/>
    <col min="25" max="25" width="30.42578125" style="26" customWidth="1"/>
    <col min="26" max="26" width="33.140625" style="26" customWidth="1"/>
    <col min="27" max="27" width="50.7109375" style="26" bestFit="1" customWidth="1"/>
    <col min="28" max="28" width="28.140625" style="26" customWidth="1"/>
    <col min="29" max="29" width="20.85546875" style="26" bestFit="1" customWidth="1"/>
    <col min="30" max="30" width="24.28515625" style="26" bestFit="1" customWidth="1"/>
    <col min="31" max="31" width="25.140625" style="26" bestFit="1" customWidth="1"/>
    <col min="32" max="32" width="26.42578125" style="26" customWidth="1"/>
    <col min="33" max="33" width="27.85546875" style="26" customWidth="1"/>
    <col min="34" max="34" width="21.42578125" style="26" bestFit="1" customWidth="1"/>
    <col min="35" max="35" width="20" style="26" customWidth="1"/>
    <col min="36" max="36" width="17.85546875" style="26" customWidth="1"/>
    <col min="37" max="37" width="25.42578125" style="26" bestFit="1" customWidth="1"/>
    <col min="38" max="39" width="25.42578125" style="26" customWidth="1"/>
    <col min="40" max="40" width="25.140625" style="26" customWidth="1"/>
    <col min="41" max="41" width="31.42578125" style="26" bestFit="1" customWidth="1"/>
    <col min="42" max="42" width="21" style="26" customWidth="1"/>
    <col min="43" max="43" width="16" style="26" bestFit="1" customWidth="1"/>
    <col min="44" max="44" width="23.42578125" style="26" bestFit="1" customWidth="1"/>
    <col min="45" max="45" width="23.7109375" style="26" bestFit="1" customWidth="1"/>
    <col min="46" max="46" width="26" style="61" bestFit="1" customWidth="1"/>
    <col min="47" max="47" width="30.140625" style="61" bestFit="1" customWidth="1"/>
    <col min="48" max="48" width="30.7109375" style="61" bestFit="1" customWidth="1"/>
    <col min="49" max="51" width="8.85546875" style="61"/>
    <col min="52" max="52" width="16" style="61" bestFit="1" customWidth="1"/>
    <col min="53" max="16384" width="8.85546875" style="61"/>
  </cols>
  <sheetData>
    <row r="1" spans="1:57" ht="15" customHeight="1">
      <c r="A1" s="91" t="s">
        <v>4</v>
      </c>
      <c r="B1" s="91" t="s">
        <v>6</v>
      </c>
      <c r="C1" s="91" t="s">
        <v>7</v>
      </c>
      <c r="D1" s="91" t="s">
        <v>11</v>
      </c>
      <c r="E1" s="91" t="s">
        <v>82</v>
      </c>
      <c r="F1" s="91" t="s">
        <v>83</v>
      </c>
      <c r="G1" s="91" t="s">
        <v>84</v>
      </c>
      <c r="H1" s="91" t="s">
        <v>85</v>
      </c>
      <c r="I1" s="91" t="s">
        <v>14</v>
      </c>
      <c r="J1" s="91" t="s">
        <v>86</v>
      </c>
      <c r="K1" s="91" t="s">
        <v>20</v>
      </c>
      <c r="L1" s="91" t="s">
        <v>21</v>
      </c>
      <c r="M1" s="91" t="s">
        <v>24</v>
      </c>
      <c r="N1" s="91" t="s">
        <v>26</v>
      </c>
      <c r="O1" s="91" t="s">
        <v>124</v>
      </c>
      <c r="P1" s="91" t="s">
        <v>30</v>
      </c>
      <c r="Q1" s="91" t="s">
        <v>38</v>
      </c>
      <c r="R1" s="91" t="s">
        <v>33</v>
      </c>
      <c r="S1" s="91" t="s">
        <v>36</v>
      </c>
      <c r="T1" s="184" t="s">
        <v>87</v>
      </c>
      <c r="U1" s="107" t="s">
        <v>88</v>
      </c>
      <c r="V1" s="107" t="s">
        <v>89</v>
      </c>
      <c r="W1" s="184" t="s">
        <v>90</v>
      </c>
      <c r="X1" s="184" t="s">
        <v>91</v>
      </c>
      <c r="Y1" s="184" t="s">
        <v>92</v>
      </c>
      <c r="Z1" s="91" t="s">
        <v>93</v>
      </c>
      <c r="AA1" s="192" t="s">
        <v>269</v>
      </c>
      <c r="AB1" s="192" t="s">
        <v>270</v>
      </c>
      <c r="AC1" s="91" t="s">
        <v>94</v>
      </c>
      <c r="AD1" s="91" t="s">
        <v>95</v>
      </c>
      <c r="AE1" s="91" t="s">
        <v>96</v>
      </c>
      <c r="AF1" s="91" t="s">
        <v>97</v>
      </c>
      <c r="AG1" s="91" t="s">
        <v>98</v>
      </c>
      <c r="AH1" s="91" t="s">
        <v>99</v>
      </c>
      <c r="AI1" s="91" t="s">
        <v>55</v>
      </c>
      <c r="AJ1" s="91" t="s">
        <v>57</v>
      </c>
      <c r="AK1" s="266" t="s">
        <v>126</v>
      </c>
      <c r="AL1" s="265" t="s">
        <v>127</v>
      </c>
      <c r="AM1" s="265" t="s">
        <v>128</v>
      </c>
      <c r="AN1" s="91" t="s">
        <v>62</v>
      </c>
      <c r="AO1" s="91" t="s">
        <v>64</v>
      </c>
      <c r="AP1" s="91" t="s">
        <v>101</v>
      </c>
      <c r="AQ1" s="91" t="s">
        <v>102</v>
      </c>
      <c r="AR1" s="91" t="s">
        <v>69</v>
      </c>
      <c r="AS1" s="357" t="s">
        <v>71</v>
      </c>
      <c r="AT1" s="347" t="s">
        <v>129</v>
      </c>
      <c r="AU1" s="347" t="s">
        <v>130</v>
      </c>
      <c r="AV1" s="347" t="s">
        <v>131</v>
      </c>
      <c r="BE1" s="193"/>
    </row>
    <row r="2" spans="1:57" ht="15" customHeight="1">
      <c r="A2" s="194" t="s">
        <v>132</v>
      </c>
      <c r="B2" s="191" t="s">
        <v>133</v>
      </c>
      <c r="C2" s="195" t="s">
        <v>271</v>
      </c>
      <c r="D2" s="206" t="s">
        <v>272</v>
      </c>
      <c r="E2" s="92" t="s">
        <v>136</v>
      </c>
      <c r="F2" s="92" t="s">
        <v>137</v>
      </c>
      <c r="G2" s="79" t="s">
        <v>138</v>
      </c>
      <c r="H2" s="42" t="s">
        <v>138</v>
      </c>
      <c r="I2" s="42" t="s">
        <v>138</v>
      </c>
      <c r="J2" s="42">
        <v>96</v>
      </c>
      <c r="K2" s="42" t="s">
        <v>138</v>
      </c>
      <c r="L2" s="42" t="s">
        <v>138</v>
      </c>
      <c r="M2" s="42" t="s">
        <v>138</v>
      </c>
      <c r="N2" s="42" t="s">
        <v>138</v>
      </c>
      <c r="O2" s="42" t="s">
        <v>138</v>
      </c>
      <c r="P2" s="97" t="s">
        <v>273</v>
      </c>
      <c r="Q2" s="42">
        <v>30</v>
      </c>
      <c r="R2" s="42" t="s">
        <v>139</v>
      </c>
      <c r="S2" s="98" t="s">
        <v>274</v>
      </c>
      <c r="T2" s="42" t="s">
        <v>141</v>
      </c>
      <c r="U2" s="190" t="s">
        <v>275</v>
      </c>
      <c r="V2" s="98" t="s">
        <v>276</v>
      </c>
      <c r="W2" s="42" t="s">
        <v>141</v>
      </c>
      <c r="X2" s="190" t="s">
        <v>275</v>
      </c>
      <c r="Y2" s="188" t="s">
        <v>277</v>
      </c>
      <c r="Z2" s="42" t="s">
        <v>278</v>
      </c>
      <c r="AA2" s="42" t="s">
        <v>141</v>
      </c>
      <c r="AB2" s="190" t="s">
        <v>279</v>
      </c>
      <c r="AC2" s="95">
        <v>1068.8</v>
      </c>
      <c r="AD2" s="313">
        <v>1118.8</v>
      </c>
      <c r="AE2" s="313">
        <v>1118.8</v>
      </c>
      <c r="AF2" s="105">
        <v>32064</v>
      </c>
      <c r="AG2" s="105">
        <v>33564</v>
      </c>
      <c r="AH2" s="105">
        <v>33564</v>
      </c>
      <c r="AI2" s="98" t="s">
        <v>280</v>
      </c>
      <c r="AJ2" s="99">
        <v>1000</v>
      </c>
      <c r="AK2" s="138">
        <f>(($Q2*AC2)/SUM($AR2:$AS2))*12</f>
        <v>3.6754484840379797</v>
      </c>
      <c r="AL2" s="138">
        <f>(($Q2*AD2)/SUM($AR2:$AS2))*12</f>
        <v>3.8473912462029309</v>
      </c>
      <c r="AM2" s="138">
        <f t="shared" ref="AL2:AM3" si="0">(($Q2*AE2)/SUM($AR2:$AS2))*12</f>
        <v>3.8473912462029309</v>
      </c>
      <c r="AN2" s="98" t="s">
        <v>281</v>
      </c>
      <c r="AO2" s="42" t="s">
        <v>138</v>
      </c>
      <c r="AP2" s="46">
        <v>119</v>
      </c>
      <c r="AQ2" s="42" t="s">
        <v>138</v>
      </c>
      <c r="AR2" s="353">
        <v>91010</v>
      </c>
      <c r="AS2" s="99">
        <v>13676</v>
      </c>
      <c r="AT2" s="360">
        <v>32064</v>
      </c>
      <c r="AU2" s="360">
        <v>33564</v>
      </c>
      <c r="AV2" s="360">
        <v>33564</v>
      </c>
      <c r="BE2" s="193"/>
    </row>
    <row r="3" spans="1:57" ht="15" customHeight="1">
      <c r="A3" s="196" t="s">
        <v>282</v>
      </c>
      <c r="B3" s="98" t="s">
        <v>283</v>
      </c>
      <c r="C3" s="205" t="s">
        <v>284</v>
      </c>
      <c r="D3" s="190" t="s">
        <v>285</v>
      </c>
      <c r="E3" s="42" t="s">
        <v>202</v>
      </c>
      <c r="F3" s="42" t="s">
        <v>286</v>
      </c>
      <c r="G3" s="79" t="s">
        <v>138</v>
      </c>
      <c r="H3" s="42" t="s">
        <v>138</v>
      </c>
      <c r="I3" s="42" t="s">
        <v>287</v>
      </c>
      <c r="J3" s="42" t="s">
        <v>138</v>
      </c>
      <c r="K3" s="42" t="s">
        <v>138</v>
      </c>
      <c r="L3" s="42" t="s">
        <v>138</v>
      </c>
      <c r="M3" s="42" t="s">
        <v>138</v>
      </c>
      <c r="N3" s="42" t="s">
        <v>138</v>
      </c>
      <c r="O3" s="42" t="s">
        <v>138</v>
      </c>
      <c r="P3" s="97" t="s">
        <v>288</v>
      </c>
      <c r="Q3" s="42">
        <v>30</v>
      </c>
      <c r="R3" s="42" t="s">
        <v>139</v>
      </c>
      <c r="S3" s="98" t="s">
        <v>289</v>
      </c>
      <c r="T3" s="42" t="s">
        <v>141</v>
      </c>
      <c r="U3" s="98" t="s">
        <v>290</v>
      </c>
      <c r="V3" s="98" t="s">
        <v>291</v>
      </c>
      <c r="W3" s="42" t="s">
        <v>141</v>
      </c>
      <c r="X3" s="98" t="s">
        <v>292</v>
      </c>
      <c r="Y3" s="188" t="s">
        <v>293</v>
      </c>
      <c r="Z3" s="42" t="s">
        <v>278</v>
      </c>
      <c r="AA3" s="42" t="s">
        <v>141</v>
      </c>
      <c r="AB3" s="190" t="s">
        <v>294</v>
      </c>
      <c r="AC3" s="99">
        <v>1745</v>
      </c>
      <c r="AD3" s="99">
        <v>1745</v>
      </c>
      <c r="AE3" s="99">
        <v>1745</v>
      </c>
      <c r="AF3" s="105">
        <v>51900</v>
      </c>
      <c r="AG3" s="105">
        <v>51900</v>
      </c>
      <c r="AH3" s="105">
        <v>51900</v>
      </c>
      <c r="AI3" s="98" t="s">
        <v>295</v>
      </c>
      <c r="AJ3" s="42" t="s">
        <v>296</v>
      </c>
      <c r="AK3" s="138">
        <f>(($Q3*AC3)/SUM($AR3:$AS3))*12</f>
        <v>6.4508179045623972</v>
      </c>
      <c r="AL3" s="138">
        <f t="shared" si="0"/>
        <v>6.4508179045623972</v>
      </c>
      <c r="AM3" s="138">
        <f t="shared" si="0"/>
        <v>6.4508179045623972</v>
      </c>
      <c r="AN3" s="98" t="s">
        <v>297</v>
      </c>
      <c r="AO3" s="42" t="s">
        <v>298</v>
      </c>
      <c r="AP3" s="46">
        <v>64</v>
      </c>
      <c r="AQ3" s="42" t="s">
        <v>138</v>
      </c>
      <c r="AR3" s="356">
        <v>97383</v>
      </c>
      <c r="AS3" s="140" t="s">
        <v>138</v>
      </c>
      <c r="AT3" s="355">
        <v>54550</v>
      </c>
      <c r="AU3" s="355">
        <v>54550</v>
      </c>
      <c r="AV3" s="355">
        <v>54550</v>
      </c>
    </row>
    <row r="4" spans="1:57" ht="15" customHeight="1">
      <c r="A4" s="196" t="s">
        <v>299</v>
      </c>
      <c r="B4" s="98" t="s">
        <v>300</v>
      </c>
      <c r="C4" s="205" t="s">
        <v>301</v>
      </c>
      <c r="D4" s="190" t="s">
        <v>302</v>
      </c>
      <c r="E4" s="42" t="s">
        <v>202</v>
      </c>
      <c r="F4" s="42" t="s">
        <v>286</v>
      </c>
      <c r="G4" s="79" t="s">
        <v>138</v>
      </c>
      <c r="H4" s="42" t="s">
        <v>138</v>
      </c>
      <c r="I4" s="42" t="s">
        <v>303</v>
      </c>
      <c r="J4" s="42" t="s">
        <v>138</v>
      </c>
      <c r="K4" s="42" t="s">
        <v>138</v>
      </c>
      <c r="L4" s="42" t="s">
        <v>138</v>
      </c>
      <c r="M4" s="42" t="s">
        <v>138</v>
      </c>
      <c r="N4" s="42" t="s">
        <v>138</v>
      </c>
      <c r="O4" s="42" t="s">
        <v>138</v>
      </c>
      <c r="P4" s="97" t="s">
        <v>273</v>
      </c>
      <c r="Q4" s="42" t="s">
        <v>304</v>
      </c>
      <c r="R4" s="42" t="s">
        <v>139</v>
      </c>
      <c r="S4" s="98" t="s">
        <v>305</v>
      </c>
      <c r="T4" s="42" t="s">
        <v>141</v>
      </c>
      <c r="U4" s="190" t="s">
        <v>306</v>
      </c>
      <c r="V4" s="98" t="s">
        <v>307</v>
      </c>
      <c r="W4" s="42" t="s">
        <v>141</v>
      </c>
      <c r="X4" s="190" t="s">
        <v>308</v>
      </c>
      <c r="Y4" s="188" t="s">
        <v>309</v>
      </c>
      <c r="Z4" s="42" t="s">
        <v>310</v>
      </c>
      <c r="AA4" s="42" t="s">
        <v>141</v>
      </c>
      <c r="AB4" s="190" t="s">
        <v>311</v>
      </c>
      <c r="AC4" s="99">
        <v>1984</v>
      </c>
      <c r="AD4" s="99">
        <v>1984</v>
      </c>
      <c r="AE4" s="99">
        <v>1984</v>
      </c>
      <c r="AF4" s="105">
        <v>59520</v>
      </c>
      <c r="AG4" s="105">
        <v>59520</v>
      </c>
      <c r="AH4" s="105">
        <v>59520</v>
      </c>
      <c r="AI4" s="98" t="s">
        <v>312</v>
      </c>
      <c r="AJ4" s="42" t="s">
        <v>303</v>
      </c>
      <c r="AK4" s="138" t="s">
        <v>138</v>
      </c>
      <c r="AL4" s="138" t="s">
        <v>138</v>
      </c>
      <c r="AM4" s="138" t="s">
        <v>138</v>
      </c>
      <c r="AN4" s="98" t="s">
        <v>313</v>
      </c>
      <c r="AO4" s="42" t="s">
        <v>314</v>
      </c>
      <c r="AP4" s="42" t="s">
        <v>315</v>
      </c>
      <c r="AQ4" s="42" t="s">
        <v>138</v>
      </c>
      <c r="AR4" s="140" t="s">
        <v>138</v>
      </c>
      <c r="AS4" s="140" t="s">
        <v>138</v>
      </c>
      <c r="AT4" s="354">
        <v>62400</v>
      </c>
      <c r="AU4" s="354">
        <v>62400</v>
      </c>
      <c r="AV4" s="354">
        <v>62400</v>
      </c>
    </row>
    <row r="5" spans="1:57" ht="15" customHeight="1">
      <c r="A5" s="196" t="s">
        <v>316</v>
      </c>
      <c r="B5" s="98" t="s">
        <v>317</v>
      </c>
      <c r="C5" s="205" t="s">
        <v>284</v>
      </c>
      <c r="D5" s="190" t="s">
        <v>318</v>
      </c>
      <c r="E5" s="42" t="s">
        <v>319</v>
      </c>
      <c r="F5" s="42" t="s">
        <v>152</v>
      </c>
      <c r="G5" s="79" t="s">
        <v>138</v>
      </c>
      <c r="H5" s="42" t="s">
        <v>138</v>
      </c>
      <c r="I5" s="42" t="s">
        <v>138</v>
      </c>
      <c r="J5" s="42" t="s">
        <v>138</v>
      </c>
      <c r="K5" s="42" t="s">
        <v>138</v>
      </c>
      <c r="L5" s="42" t="s">
        <v>138</v>
      </c>
      <c r="M5" s="42" t="s">
        <v>138</v>
      </c>
      <c r="N5" s="42" t="s">
        <v>138</v>
      </c>
      <c r="O5" s="42" t="s">
        <v>138</v>
      </c>
      <c r="P5" s="42">
        <v>20</v>
      </c>
      <c r="Q5" s="42">
        <v>30</v>
      </c>
      <c r="R5" s="42" t="s">
        <v>139</v>
      </c>
      <c r="S5" s="98" t="s">
        <v>320</v>
      </c>
      <c r="T5" s="42" t="s">
        <v>141</v>
      </c>
      <c r="U5" s="190" t="s">
        <v>321</v>
      </c>
      <c r="V5" s="98" t="s">
        <v>322</v>
      </c>
      <c r="W5" s="42" t="s">
        <v>141</v>
      </c>
      <c r="X5" s="190" t="s">
        <v>323</v>
      </c>
      <c r="Y5" s="188" t="s">
        <v>324</v>
      </c>
      <c r="Z5" s="42" t="s">
        <v>278</v>
      </c>
      <c r="AA5" s="42" t="s">
        <v>141</v>
      </c>
      <c r="AB5" s="190" t="s">
        <v>325</v>
      </c>
      <c r="AC5" s="99">
        <v>681</v>
      </c>
      <c r="AD5" s="99">
        <v>681</v>
      </c>
      <c r="AE5" s="197">
        <v>681</v>
      </c>
      <c r="AF5" s="105">
        <v>31950</v>
      </c>
      <c r="AG5" s="105">
        <v>31950</v>
      </c>
      <c r="AH5" s="105">
        <v>31950</v>
      </c>
      <c r="AI5" s="98" t="s">
        <v>326</v>
      </c>
      <c r="AJ5" s="99">
        <v>250</v>
      </c>
      <c r="AK5" s="138" t="s">
        <v>138</v>
      </c>
      <c r="AL5" s="138" t="s">
        <v>138</v>
      </c>
      <c r="AM5" s="138" t="s">
        <v>138</v>
      </c>
      <c r="AN5" s="98" t="s">
        <v>327</v>
      </c>
      <c r="AO5" s="42" t="s">
        <v>314</v>
      </c>
      <c r="AP5" s="42" t="s">
        <v>138</v>
      </c>
      <c r="AQ5" s="42" t="s">
        <v>138</v>
      </c>
      <c r="AR5" s="140" t="s">
        <v>138</v>
      </c>
      <c r="AS5" s="140" t="s">
        <v>138</v>
      </c>
      <c r="AT5" s="355">
        <v>11010</v>
      </c>
      <c r="AU5" s="355">
        <v>11010</v>
      </c>
      <c r="AV5" s="355">
        <v>11010</v>
      </c>
    </row>
    <row r="6" spans="1:57" ht="15" customHeight="1">
      <c r="A6" s="196" t="s">
        <v>328</v>
      </c>
      <c r="B6" s="330" t="s">
        <v>329</v>
      </c>
      <c r="C6" s="205" t="s">
        <v>330</v>
      </c>
      <c r="D6" s="190" t="s">
        <v>331</v>
      </c>
      <c r="E6" s="42" t="s">
        <v>332</v>
      </c>
      <c r="F6" s="42" t="s">
        <v>333</v>
      </c>
      <c r="G6" s="79" t="s">
        <v>138</v>
      </c>
      <c r="H6" s="98" t="s">
        <v>334</v>
      </c>
      <c r="I6" s="42" t="s">
        <v>138</v>
      </c>
      <c r="J6" s="42" t="s">
        <v>138</v>
      </c>
      <c r="K6" s="42" t="s">
        <v>138</v>
      </c>
      <c r="L6" s="42" t="s">
        <v>138</v>
      </c>
      <c r="M6" s="42" t="s">
        <v>138</v>
      </c>
      <c r="N6" s="42" t="s">
        <v>138</v>
      </c>
      <c r="O6" s="42" t="s">
        <v>138</v>
      </c>
      <c r="P6" s="42" t="s">
        <v>335</v>
      </c>
      <c r="Q6" s="42">
        <v>30</v>
      </c>
      <c r="R6" s="42" t="s">
        <v>139</v>
      </c>
      <c r="S6" s="98" t="s">
        <v>336</v>
      </c>
      <c r="T6" s="42" t="s">
        <v>141</v>
      </c>
      <c r="U6" s="190" t="s">
        <v>337</v>
      </c>
      <c r="V6" s="98" t="s">
        <v>338</v>
      </c>
      <c r="W6" s="42" t="s">
        <v>141</v>
      </c>
      <c r="X6" s="190" t="s">
        <v>339</v>
      </c>
      <c r="Y6" s="188" t="s">
        <v>340</v>
      </c>
      <c r="Z6" s="42" t="s">
        <v>141</v>
      </c>
      <c r="AA6" s="42" t="s">
        <v>141</v>
      </c>
      <c r="AB6" s="190" t="s">
        <v>341</v>
      </c>
      <c r="AC6" s="106">
        <v>594.39</v>
      </c>
      <c r="AD6" s="198">
        <v>594.39</v>
      </c>
      <c r="AE6" s="106">
        <v>594.39</v>
      </c>
      <c r="AF6" s="199">
        <v>15322</v>
      </c>
      <c r="AG6" s="199">
        <v>15322</v>
      </c>
      <c r="AH6" s="199">
        <v>15322</v>
      </c>
      <c r="AI6" s="98" t="s">
        <v>141</v>
      </c>
      <c r="AJ6" s="42" t="s">
        <v>303</v>
      </c>
      <c r="AK6" s="138" t="s">
        <v>138</v>
      </c>
      <c r="AL6" s="138" t="s">
        <v>138</v>
      </c>
      <c r="AM6" s="138" t="s">
        <v>138</v>
      </c>
      <c r="AN6" s="98" t="s">
        <v>342</v>
      </c>
      <c r="AO6" s="42" t="s">
        <v>303</v>
      </c>
      <c r="AP6" s="42" t="s">
        <v>138</v>
      </c>
      <c r="AQ6" s="42" t="s">
        <v>138</v>
      </c>
      <c r="AR6" s="42" t="s">
        <v>138</v>
      </c>
      <c r="AS6" s="358" t="s">
        <v>138</v>
      </c>
      <c r="AT6" s="361">
        <v>19603.2</v>
      </c>
      <c r="AU6" s="361">
        <v>19603.2</v>
      </c>
      <c r="AV6" s="361">
        <v>19603.2</v>
      </c>
    </row>
    <row r="7" spans="1:57" ht="15" customHeight="1">
      <c r="A7" s="196" t="s">
        <v>343</v>
      </c>
      <c r="B7" s="330" t="s">
        <v>344</v>
      </c>
      <c r="C7" s="205" t="s">
        <v>301</v>
      </c>
      <c r="D7" s="190" t="s">
        <v>345</v>
      </c>
      <c r="E7" s="42" t="s">
        <v>346</v>
      </c>
      <c r="F7" s="42" t="s">
        <v>347</v>
      </c>
      <c r="G7" s="79" t="s">
        <v>138</v>
      </c>
      <c r="H7" s="42" t="s">
        <v>138</v>
      </c>
      <c r="I7" s="42" t="s">
        <v>348</v>
      </c>
      <c r="J7" s="42" t="s">
        <v>138</v>
      </c>
      <c r="K7" s="42" t="s">
        <v>138</v>
      </c>
      <c r="L7" s="42" t="s">
        <v>138</v>
      </c>
      <c r="M7" s="42" t="s">
        <v>138</v>
      </c>
      <c r="N7" s="42" t="s">
        <v>138</v>
      </c>
      <c r="O7" s="42" t="s">
        <v>138</v>
      </c>
      <c r="P7" s="42">
        <v>24</v>
      </c>
      <c r="Q7" s="42">
        <v>30</v>
      </c>
      <c r="R7" s="42" t="s">
        <v>139</v>
      </c>
      <c r="S7" s="98" t="s">
        <v>349</v>
      </c>
      <c r="T7" s="42" t="s">
        <v>141</v>
      </c>
      <c r="U7" s="190" t="s">
        <v>350</v>
      </c>
      <c r="V7" s="98" t="s">
        <v>351</v>
      </c>
      <c r="W7" s="42" t="s">
        <v>139</v>
      </c>
      <c r="X7" s="42" t="s">
        <v>138</v>
      </c>
      <c r="Y7" s="188" t="s">
        <v>352</v>
      </c>
      <c r="Z7" s="42" t="s">
        <v>278</v>
      </c>
      <c r="AA7" s="42" t="s">
        <v>141</v>
      </c>
      <c r="AB7" s="190" t="s">
        <v>353</v>
      </c>
      <c r="AC7" s="106">
        <v>508.8</v>
      </c>
      <c r="AD7" s="106">
        <v>508.8</v>
      </c>
      <c r="AE7" s="200">
        <v>508.8</v>
      </c>
      <c r="AF7" s="105">
        <v>15000</v>
      </c>
      <c r="AG7" s="105">
        <v>15000</v>
      </c>
      <c r="AH7" s="105">
        <v>15000</v>
      </c>
      <c r="AI7" s="98" t="s">
        <v>354</v>
      </c>
      <c r="AJ7" s="42" t="s">
        <v>355</v>
      </c>
      <c r="AK7" s="138" t="s">
        <v>138</v>
      </c>
      <c r="AL7" s="138" t="s">
        <v>138</v>
      </c>
      <c r="AM7" s="138" t="s">
        <v>138</v>
      </c>
      <c r="AN7" s="98" t="s">
        <v>356</v>
      </c>
      <c r="AO7" s="42" t="s">
        <v>296</v>
      </c>
      <c r="AP7" s="46" t="s">
        <v>357</v>
      </c>
      <c r="AQ7" s="42" t="s">
        <v>138</v>
      </c>
      <c r="AR7" s="42" t="s">
        <v>138</v>
      </c>
      <c r="AS7" s="140" t="s">
        <v>138</v>
      </c>
      <c r="AT7" s="355">
        <v>16539</v>
      </c>
      <c r="AU7" s="355">
        <v>16539</v>
      </c>
      <c r="AV7" s="355">
        <v>16539</v>
      </c>
    </row>
    <row r="8" spans="1:57" ht="15" customHeight="1">
      <c r="A8" s="196" t="s">
        <v>358</v>
      </c>
      <c r="B8" s="330" t="s">
        <v>359</v>
      </c>
      <c r="C8" s="205" t="s">
        <v>301</v>
      </c>
      <c r="D8" s="190" t="s">
        <v>360</v>
      </c>
      <c r="E8" s="42" t="s">
        <v>361</v>
      </c>
      <c r="F8" s="42" t="s">
        <v>362</v>
      </c>
      <c r="G8" s="163" t="s">
        <v>138</v>
      </c>
      <c r="H8" s="46" t="s">
        <v>363</v>
      </c>
      <c r="I8" s="41">
        <v>3.36</v>
      </c>
      <c r="J8" s="163" t="s">
        <v>138</v>
      </c>
      <c r="K8" s="163" t="s">
        <v>138</v>
      </c>
      <c r="L8" s="207" t="s">
        <v>364</v>
      </c>
      <c r="M8" s="102">
        <v>0.17</v>
      </c>
      <c r="N8" s="102">
        <v>0.26</v>
      </c>
      <c r="O8" s="41" t="s">
        <v>365</v>
      </c>
      <c r="P8" s="42" t="s">
        <v>366</v>
      </c>
      <c r="Q8" s="42" t="s">
        <v>367</v>
      </c>
      <c r="R8" s="42" t="s">
        <v>368</v>
      </c>
      <c r="S8" s="98" t="s">
        <v>369</v>
      </c>
      <c r="T8" s="42" t="s">
        <v>141</v>
      </c>
      <c r="U8" s="190" t="s">
        <v>360</v>
      </c>
      <c r="V8" s="98" t="s">
        <v>370</v>
      </c>
      <c r="W8" s="42" t="s">
        <v>141</v>
      </c>
      <c r="X8" s="190" t="s">
        <v>371</v>
      </c>
      <c r="Y8" s="188" t="s">
        <v>372</v>
      </c>
      <c r="Z8" s="42" t="s">
        <v>373</v>
      </c>
      <c r="AA8" s="42" t="s">
        <v>141</v>
      </c>
      <c r="AB8" s="190" t="s">
        <v>374</v>
      </c>
      <c r="AC8" s="99">
        <v>852</v>
      </c>
      <c r="AD8" s="99">
        <v>852</v>
      </c>
      <c r="AE8" s="99">
        <v>852</v>
      </c>
      <c r="AF8" s="105">
        <v>25560</v>
      </c>
      <c r="AG8" s="201">
        <v>25560</v>
      </c>
      <c r="AH8" s="105">
        <v>25560</v>
      </c>
      <c r="AI8" s="98" t="s">
        <v>375</v>
      </c>
      <c r="AJ8" s="42" t="s">
        <v>303</v>
      </c>
      <c r="AK8" s="138" t="s">
        <v>138</v>
      </c>
      <c r="AL8" s="138" t="s">
        <v>138</v>
      </c>
      <c r="AM8" s="138" t="s">
        <v>138</v>
      </c>
      <c r="AN8" s="174" t="s">
        <v>376</v>
      </c>
      <c r="AO8" s="42" t="s">
        <v>377</v>
      </c>
      <c r="AP8" s="41" t="s">
        <v>378</v>
      </c>
      <c r="AQ8" s="42" t="s">
        <v>138</v>
      </c>
      <c r="AR8" s="42" t="s">
        <v>138</v>
      </c>
      <c r="AS8" s="140" t="s">
        <v>138</v>
      </c>
      <c r="AT8" s="355">
        <v>31950</v>
      </c>
      <c r="AU8" s="355">
        <v>31950</v>
      </c>
      <c r="AV8" s="355">
        <v>31950</v>
      </c>
    </row>
    <row r="9" spans="1:57" ht="15" customHeight="1">
      <c r="A9" s="196" t="s">
        <v>379</v>
      </c>
      <c r="B9" s="204" t="s">
        <v>380</v>
      </c>
      <c r="C9" s="205" t="s">
        <v>381</v>
      </c>
      <c r="D9" s="202" t="s">
        <v>382</v>
      </c>
      <c r="E9" s="42" t="s">
        <v>383</v>
      </c>
      <c r="F9" s="42" t="s">
        <v>384</v>
      </c>
      <c r="G9" s="79" t="s">
        <v>138</v>
      </c>
      <c r="H9" s="42" t="s">
        <v>138</v>
      </c>
      <c r="I9" s="42" t="s">
        <v>138</v>
      </c>
      <c r="J9" s="42" t="s">
        <v>138</v>
      </c>
      <c r="K9" s="42" t="s">
        <v>138</v>
      </c>
      <c r="L9" s="42" t="s">
        <v>138</v>
      </c>
      <c r="M9" s="53">
        <v>0</v>
      </c>
      <c r="N9" s="108">
        <v>0.33300000000000002</v>
      </c>
      <c r="O9" s="42" t="s">
        <v>138</v>
      </c>
      <c r="P9" s="42" t="s">
        <v>138</v>
      </c>
      <c r="Q9" s="42">
        <v>36</v>
      </c>
      <c r="R9" s="42" t="s">
        <v>138</v>
      </c>
      <c r="S9" s="42" t="s">
        <v>138</v>
      </c>
      <c r="T9" s="42" t="s">
        <v>138</v>
      </c>
      <c r="U9" s="98" t="s">
        <v>138</v>
      </c>
      <c r="V9" s="42" t="s">
        <v>138</v>
      </c>
      <c r="W9" s="42" t="s">
        <v>139</v>
      </c>
      <c r="X9" s="42" t="s">
        <v>138</v>
      </c>
      <c r="Y9" s="42" t="s">
        <v>138</v>
      </c>
      <c r="Z9" s="42" t="s">
        <v>138</v>
      </c>
      <c r="AA9" s="42" t="s">
        <v>141</v>
      </c>
      <c r="AB9" s="190" t="s">
        <v>385</v>
      </c>
      <c r="AC9" s="99">
        <v>627</v>
      </c>
      <c r="AD9" s="99">
        <v>627</v>
      </c>
      <c r="AE9" s="42" t="s">
        <v>138</v>
      </c>
      <c r="AF9" s="203">
        <v>18810</v>
      </c>
      <c r="AG9" s="105">
        <v>18810</v>
      </c>
      <c r="AH9" s="208" t="s">
        <v>138</v>
      </c>
      <c r="AI9" s="42" t="s">
        <v>138</v>
      </c>
      <c r="AJ9" s="42" t="s">
        <v>138</v>
      </c>
      <c r="AK9" s="138">
        <f>((AF9)/SUM($AR9:$AS9))*12</f>
        <v>4.9227950798220359</v>
      </c>
      <c r="AL9" s="138">
        <f>((AF9)/SUM($AR9:$AS9))*12</f>
        <v>4.9227950798220359</v>
      </c>
      <c r="AM9" s="138">
        <f>((AG9)/SUM($AR9:$AS9))*12</f>
        <v>4.9227950798220359</v>
      </c>
      <c r="AN9" s="42" t="s">
        <v>138</v>
      </c>
      <c r="AO9" s="42" t="s">
        <v>138</v>
      </c>
      <c r="AP9" s="42" t="s">
        <v>138</v>
      </c>
      <c r="AQ9" s="42" t="s">
        <v>138</v>
      </c>
      <c r="AR9" s="166">
        <v>45852</v>
      </c>
      <c r="AS9" s="140" t="s">
        <v>138</v>
      </c>
      <c r="AT9" s="359">
        <v>23724</v>
      </c>
      <c r="AU9" s="359">
        <v>23724</v>
      </c>
      <c r="AV9" s="359">
        <v>23724</v>
      </c>
    </row>
    <row r="10" spans="1:57" ht="15" customHeight="1">
      <c r="A10" s="196" t="s">
        <v>386</v>
      </c>
      <c r="B10" s="330" t="s">
        <v>386</v>
      </c>
      <c r="C10" s="205" t="s">
        <v>387</v>
      </c>
      <c r="D10" s="190" t="s">
        <v>388</v>
      </c>
      <c r="E10" s="42" t="s">
        <v>389</v>
      </c>
      <c r="F10" s="42" t="s">
        <v>214</v>
      </c>
      <c r="G10" s="79" t="s">
        <v>138</v>
      </c>
      <c r="H10" s="42" t="s">
        <v>390</v>
      </c>
      <c r="I10" s="42" t="s">
        <v>391</v>
      </c>
      <c r="J10" s="42" t="s">
        <v>138</v>
      </c>
      <c r="K10" s="42" t="s">
        <v>138</v>
      </c>
      <c r="L10" s="42" t="s">
        <v>138</v>
      </c>
      <c r="M10" s="42" t="s">
        <v>392</v>
      </c>
      <c r="N10" s="42" t="s">
        <v>393</v>
      </c>
      <c r="O10" s="42" t="s">
        <v>394</v>
      </c>
      <c r="P10" s="42" t="s">
        <v>395</v>
      </c>
      <c r="Q10" s="42">
        <v>30</v>
      </c>
      <c r="R10" s="42" t="s">
        <v>396</v>
      </c>
      <c r="S10" s="98" t="s">
        <v>397</v>
      </c>
      <c r="T10" s="42" t="s">
        <v>141</v>
      </c>
      <c r="U10" s="98" t="s">
        <v>296</v>
      </c>
      <c r="V10" s="42" t="s">
        <v>398</v>
      </c>
      <c r="W10" s="42" t="s">
        <v>141</v>
      </c>
      <c r="X10" s="42" t="s">
        <v>138</v>
      </c>
      <c r="Y10" s="98" t="s">
        <v>399</v>
      </c>
      <c r="Z10" s="42" t="s">
        <v>310</v>
      </c>
      <c r="AA10" s="42" t="s">
        <v>141</v>
      </c>
      <c r="AB10" s="190" t="s">
        <v>400</v>
      </c>
      <c r="AC10" s="99">
        <v>992</v>
      </c>
      <c r="AD10" s="99">
        <v>992</v>
      </c>
      <c r="AE10" s="99">
        <v>992</v>
      </c>
      <c r="AF10" s="46" t="s">
        <v>401</v>
      </c>
      <c r="AG10" s="109" t="s">
        <v>401</v>
      </c>
      <c r="AH10" s="46" t="s">
        <v>401</v>
      </c>
      <c r="AI10" s="98" t="s">
        <v>402</v>
      </c>
      <c r="AJ10" s="42" t="s">
        <v>296</v>
      </c>
      <c r="AK10" s="138">
        <f t="shared" ref="AK10" si="1">((Q10*AC10)/SUM(AR10:AS10))*12</f>
        <v>5.952</v>
      </c>
      <c r="AL10" s="138">
        <f t="shared" ref="AL10" si="2">(($Q10*AD10)/SUM($AR10:$AS10))*12</f>
        <v>5.952</v>
      </c>
      <c r="AM10" s="138">
        <f t="shared" ref="AM10" si="3">(($Q10*AE10)/SUM($AR10:$AS10))*12</f>
        <v>5.952</v>
      </c>
      <c r="AN10" s="98" t="s">
        <v>403</v>
      </c>
      <c r="AO10" s="42" t="s">
        <v>296</v>
      </c>
      <c r="AP10" s="42" t="s">
        <v>138</v>
      </c>
      <c r="AQ10" s="53">
        <v>0.95</v>
      </c>
      <c r="AR10" s="99">
        <v>60000</v>
      </c>
      <c r="AS10" s="140" t="s">
        <v>138</v>
      </c>
      <c r="AT10" s="355">
        <v>30330</v>
      </c>
      <c r="AU10" s="355">
        <v>30330</v>
      </c>
      <c r="AV10" s="355">
        <v>30330</v>
      </c>
    </row>
  </sheetData>
  <hyperlinks>
    <hyperlink ref="D3" r:id="rId1" display="https://landing.advanced.jhu.edu/applied-economics/?utm_source=google&amp;utm_medium=cpc&amp;utm_term=hopkins+applied+economics&amp;utm_campaign=RWC_JHUAAP_MSAE_Search-PPC_Paid+Search_Google_Branded_NULL_Domestic_Brand-Program_NULL_Primary&amp;utm_content=MSAE%7CProgram%7CExact%7CObservation&amp;uadgroup=MSAE%7CProgram%7CExact%7CObservation&amp;uAdCampaign=RWC_JHUAAP_MSAE_Search-PPC_Paid+Search_Google_Branded_NULL_Domestic_Brand-Program_NULL_Primary&amp;gad=1&amp;gclid=EAIaIQobChMI6LrxgoiAgQMV-AutBh2yFgx7EAAYASAAEgKyS_D_BwE&amp;gclsrc=aw.ds" xr:uid="{2EB5B86B-7D09-440D-8757-E1C7D9EE6CD8}"/>
    <hyperlink ref="D4" r:id="rId2" xr:uid="{B138AD23-986A-40AC-851C-3183CDFE9E6B}"/>
    <hyperlink ref="D6" r:id="rId3" xr:uid="{30361574-5907-469B-9B04-61A9885E240F}"/>
    <hyperlink ref="D7" r:id="rId4" xr:uid="{62E09229-D869-4B95-B662-B39B69641CAF}"/>
    <hyperlink ref="D8" r:id="rId5" xr:uid="{BD9F7C8A-CF56-4B02-A5E3-69F58D645C28}"/>
    <hyperlink ref="D10" r:id="rId6" xr:uid="{BA5DA610-102A-4152-ABF0-26E1E866A023}"/>
    <hyperlink ref="U2" r:id="rId7" xr:uid="{6AEA9763-CCAE-444D-90BA-CF2BAD4F941C}"/>
    <hyperlink ref="X2" r:id="rId8" xr:uid="{E45937AB-3647-4555-9697-FF431F9D6361}"/>
    <hyperlink ref="U4" r:id="rId9" xr:uid="{54E9EED9-D6E1-4827-8E6A-C43BC97FB9D5}"/>
    <hyperlink ref="X4" r:id="rId10" xr:uid="{2D0E4F68-DDD2-4F21-BA25-FB6EECAAAED9}"/>
    <hyperlink ref="U5" r:id="rId11" xr:uid="{90AD0633-CA75-4F0A-B6E3-632BF2881204}"/>
    <hyperlink ref="X5" r:id="rId12" xr:uid="{E82B76CE-C41D-4488-AA60-1A9600E3A724}"/>
    <hyperlink ref="U6" r:id="rId13" xr:uid="{9E7879D4-268D-4B67-9891-1E66A71F35A9}"/>
    <hyperlink ref="X6" r:id="rId14" xr:uid="{B6BE7DF8-E067-4FED-847C-007ED5C4FB3B}"/>
    <hyperlink ref="U7" r:id="rId15" xr:uid="{51454FAD-ED5E-4C71-B398-3AA79B2B1930}"/>
    <hyperlink ref="AB3" r:id="rId16" xr:uid="{E8683247-68E1-4CB6-88AD-230985014954}"/>
    <hyperlink ref="D9" r:id="rId17" xr:uid="{6689C50C-5D2F-4075-ABCC-C9AAC96D0636}"/>
    <hyperlink ref="AB9" r:id="rId18" xr:uid="{E58A613A-0058-4206-A3F6-66A877664634}"/>
    <hyperlink ref="AB2" r:id="rId19" xr:uid="{859A59A1-C04B-49B5-AF8A-0A515A998F26}"/>
    <hyperlink ref="AB4" r:id="rId20" xr:uid="{C5A8B0F6-F09A-4DE2-83AD-71CF91BE7802}"/>
    <hyperlink ref="AB5" r:id="rId21" xr:uid="{635A03FF-0F75-47CA-9364-E85D3D8D1F2B}"/>
    <hyperlink ref="AB6" r:id="rId22" xr:uid="{A6909E3C-D502-4BFC-B7C6-014C3B699C0E}"/>
    <hyperlink ref="AB7" r:id="rId23" location="gradstudents" xr:uid="{06EAC9BF-1DDF-4CCD-AA74-141E47BAA596}"/>
    <hyperlink ref="AB8" r:id="rId24" location=":~:text=That%20means%20throughout%20your%20time,2140%20to%20schedule%20an%20appointment" xr:uid="{08828A5A-F0D0-450E-9DC0-C052E9B0CACC}"/>
    <hyperlink ref="AB10" r:id="rId25" xr:uid="{F7579A24-FC18-4468-8D84-6DA2BF09BCA3}"/>
    <hyperlink ref="AF2" r:id="rId26" display="$32,064 " xr:uid="{1C055A8C-6712-49E9-98AD-DD58C747B552}"/>
    <hyperlink ref="AP2" r:id="rId27" display="119" xr:uid="{75BC3659-83F0-4EA8-AD02-3736BFEE09BE}"/>
    <hyperlink ref="AP3" r:id="rId28" display="64" xr:uid="{8CF17D94-F485-4314-84DC-7436BAB7B74A}"/>
    <hyperlink ref="AP8" r:id="rId29" xr:uid="{EDDB7A8C-B4B6-429D-B3F0-8AA3553B912F}"/>
    <hyperlink ref="AP7" r:id="rId30" xr:uid="{8EAB9170-6FE7-4DEC-B853-5558906D2E9B}"/>
    <hyperlink ref="D2" r:id="rId31" xr:uid="{8E62E20D-1D72-4F64-A09D-1A002AC1BF55}"/>
    <hyperlink ref="D5" r:id="rId32" xr:uid="{0294F96C-9F1C-4CFB-A1AB-5225A56E2B3A}"/>
    <hyperlink ref="U8" r:id="rId33" xr:uid="{565D6E31-C786-4FB2-A1BF-76FAFDFE1930}"/>
    <hyperlink ref="X8" r:id="rId34" xr:uid="{4991BB60-B2FB-43AB-AFC1-1BB76D6165E2}"/>
    <hyperlink ref="AT6" r:id="rId35" display="$19,603.20 " xr:uid="{245D075B-F7E4-4B5C-B685-FB31862CE7BE}"/>
    <hyperlink ref="AU6" r:id="rId36" display="$19,603.20 " xr:uid="{6C6B5AA3-09BA-4AAF-8960-45D900335B92}"/>
    <hyperlink ref="AV6" r:id="rId37" display="$19,603.20 " xr:uid="{45428EBB-2377-4D6B-A8BB-55F250ADCE17}"/>
  </hyperlinks>
  <pageMargins left="0.7" right="0.7" top="0.75" bottom="0.75" header="0.3" footer="0.3"/>
  <legacyDrawing r:id="rId3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7424-43A0-4B07-9F29-5748223E85D7}">
  <sheetPr>
    <tabColor theme="4" tint="0.59999389629810485"/>
  </sheetPr>
  <dimension ref="A1:BE16"/>
  <sheetViews>
    <sheetView zoomScale="112" workbookViewId="0">
      <pane xSplit="1" topLeftCell="AR1" activePane="topRight" state="frozen"/>
      <selection pane="topRight" activeCell="AT1" sqref="AT1:AV1"/>
      <selection activeCell="A2" sqref="A2"/>
    </sheetView>
  </sheetViews>
  <sheetFormatPr defaultColWidth="8.85546875" defaultRowHeight="15"/>
  <cols>
    <col min="1" max="1" width="32.85546875" style="61" customWidth="1"/>
    <col min="2" max="2" width="20.85546875" style="26" bestFit="1" customWidth="1"/>
    <col min="3" max="3" width="30.140625" style="26" bestFit="1" customWidth="1"/>
    <col min="4" max="4" width="32.28515625" style="26" customWidth="1"/>
    <col min="5" max="5" width="14.42578125" style="26" bestFit="1" customWidth="1"/>
    <col min="6" max="6" width="14.85546875" style="26" bestFit="1" customWidth="1"/>
    <col min="7" max="7" width="14.42578125" style="26" bestFit="1" customWidth="1"/>
    <col min="8" max="8" width="14.42578125" style="26" customWidth="1"/>
    <col min="9" max="9" width="26.85546875" style="26" bestFit="1" customWidth="1"/>
    <col min="10" max="10" width="24.140625" style="26" bestFit="1" customWidth="1"/>
    <col min="11" max="11" width="19.7109375" style="26" bestFit="1" customWidth="1"/>
    <col min="12" max="12" width="9.28515625" style="26" bestFit="1" customWidth="1"/>
    <col min="13" max="13" width="16" style="26" bestFit="1" customWidth="1"/>
    <col min="14" max="14" width="10.85546875" style="26" bestFit="1" customWidth="1"/>
    <col min="15" max="15" width="11.42578125" style="26" bestFit="1" customWidth="1"/>
    <col min="16" max="16" width="17.42578125" style="26" bestFit="1" customWidth="1"/>
    <col min="17" max="17" width="12.140625" style="26" bestFit="1" customWidth="1"/>
    <col min="18" max="18" width="10.85546875" style="26" customWidth="1"/>
    <col min="19" max="19" width="15.85546875" style="134" customWidth="1"/>
    <col min="20" max="20" width="50.140625" style="26" bestFit="1" customWidth="1"/>
    <col min="21" max="21" width="47.42578125" style="26" customWidth="1"/>
    <col min="22" max="22" width="55.28515625" style="26" customWidth="1"/>
    <col min="23" max="23" width="23.140625" style="26" customWidth="1"/>
    <col min="24" max="24" width="34.42578125" style="26" customWidth="1"/>
    <col min="25" max="25" width="30" style="134" customWidth="1"/>
    <col min="26" max="26" width="33.140625" style="26" customWidth="1"/>
    <col min="27" max="27" width="47.42578125" style="26" customWidth="1"/>
    <col min="28" max="28" width="45.7109375" style="26" customWidth="1"/>
    <col min="29" max="29" width="24.140625" style="26" bestFit="1" customWidth="1"/>
    <col min="30" max="30" width="28.42578125" style="26" bestFit="1" customWidth="1"/>
    <col min="31" max="31" width="28.85546875" style="26" bestFit="1" customWidth="1"/>
    <col min="32" max="32" width="19.7109375" style="26" bestFit="1" customWidth="1"/>
    <col min="33" max="33" width="24" style="26" bestFit="1" customWidth="1"/>
    <col min="34" max="34" width="24.42578125" style="26" bestFit="1" customWidth="1"/>
    <col min="35" max="35" width="11.140625" style="26" bestFit="1" customWidth="1"/>
    <col min="36" max="36" width="7.85546875" style="26" bestFit="1" customWidth="1"/>
    <col min="37" max="37" width="29.28515625" style="26" bestFit="1" customWidth="1"/>
    <col min="38" max="39" width="29.28515625" style="26" customWidth="1"/>
    <col min="40" max="40" width="18.85546875" style="26" bestFit="1" customWidth="1"/>
    <col min="41" max="41" width="26.140625" style="26" bestFit="1" customWidth="1"/>
    <col min="42" max="42" width="12.28515625" style="26" bestFit="1" customWidth="1"/>
    <col min="43" max="43" width="16" style="26" bestFit="1" customWidth="1"/>
    <col min="44" max="44" width="26.42578125" style="26" customWidth="1"/>
    <col min="45" max="45" width="23.7109375" style="26" bestFit="1" customWidth="1"/>
    <col min="46" max="46" width="26" style="26" bestFit="1" customWidth="1"/>
    <col min="47" max="47" width="30.140625" style="26" bestFit="1" customWidth="1"/>
    <col min="48" max="48" width="30.7109375" style="26" bestFit="1" customWidth="1"/>
    <col min="49" max="51" width="8.85546875" style="26"/>
    <col min="52" max="52" width="16" style="26" bestFit="1" customWidth="1"/>
    <col min="53" max="16384" width="8.85546875" style="26"/>
  </cols>
  <sheetData>
    <row r="1" spans="1:57">
      <c r="A1" s="110" t="s">
        <v>4</v>
      </c>
      <c r="B1" s="111" t="s">
        <v>6</v>
      </c>
      <c r="C1" s="111" t="s">
        <v>7</v>
      </c>
      <c r="D1" s="111" t="s">
        <v>11</v>
      </c>
      <c r="E1" s="111" t="s">
        <v>82</v>
      </c>
      <c r="F1" s="111" t="s">
        <v>83</v>
      </c>
      <c r="G1" s="111" t="s">
        <v>84</v>
      </c>
      <c r="H1" s="111" t="s">
        <v>85</v>
      </c>
      <c r="I1" s="111" t="s">
        <v>14</v>
      </c>
      <c r="J1" s="111" t="s">
        <v>86</v>
      </c>
      <c r="K1" s="111" t="s">
        <v>20</v>
      </c>
      <c r="L1" s="111" t="s">
        <v>21</v>
      </c>
      <c r="M1" s="111" t="s">
        <v>24</v>
      </c>
      <c r="N1" s="111" t="s">
        <v>26</v>
      </c>
      <c r="O1" s="111" t="s">
        <v>23</v>
      </c>
      <c r="P1" s="111" t="s">
        <v>30</v>
      </c>
      <c r="Q1" s="111" t="s">
        <v>38</v>
      </c>
      <c r="R1" s="111" t="s">
        <v>33</v>
      </c>
      <c r="S1" s="112" t="s">
        <v>36</v>
      </c>
      <c r="T1" s="113" t="s">
        <v>87</v>
      </c>
      <c r="U1" s="114" t="s">
        <v>88</v>
      </c>
      <c r="V1" s="114" t="s">
        <v>89</v>
      </c>
      <c r="W1" s="113" t="s">
        <v>90</v>
      </c>
      <c r="X1" s="113" t="s">
        <v>91</v>
      </c>
      <c r="Y1" s="214" t="s">
        <v>92</v>
      </c>
      <c r="Z1" s="111" t="s">
        <v>93</v>
      </c>
      <c r="AA1" s="67" t="s">
        <v>269</v>
      </c>
      <c r="AB1" s="67" t="s">
        <v>270</v>
      </c>
      <c r="AC1" s="111" t="s">
        <v>94</v>
      </c>
      <c r="AD1" s="111" t="s">
        <v>95</v>
      </c>
      <c r="AE1" s="111" t="s">
        <v>96</v>
      </c>
      <c r="AF1" s="111" t="s">
        <v>97</v>
      </c>
      <c r="AG1" s="111" t="s">
        <v>98</v>
      </c>
      <c r="AH1" s="111" t="s">
        <v>99</v>
      </c>
      <c r="AI1" s="111" t="s">
        <v>55</v>
      </c>
      <c r="AJ1" s="111" t="s">
        <v>57</v>
      </c>
      <c r="AK1" s="266" t="s">
        <v>126</v>
      </c>
      <c r="AL1" s="265" t="s">
        <v>127</v>
      </c>
      <c r="AM1" s="265" t="s">
        <v>128</v>
      </c>
      <c r="AN1" s="111" t="s">
        <v>62</v>
      </c>
      <c r="AO1" s="111" t="s">
        <v>64</v>
      </c>
      <c r="AP1" s="111" t="s">
        <v>101</v>
      </c>
      <c r="AQ1" s="111" t="s">
        <v>102</v>
      </c>
      <c r="AR1" s="111" t="s">
        <v>69</v>
      </c>
      <c r="AS1" s="111" t="s">
        <v>71</v>
      </c>
      <c r="AT1" s="347" t="s">
        <v>129</v>
      </c>
      <c r="AU1" s="347" t="s">
        <v>130</v>
      </c>
      <c r="AV1" s="347" t="s">
        <v>131</v>
      </c>
      <c r="BE1" s="96"/>
    </row>
    <row r="2" spans="1:57" s="122" customFormat="1">
      <c r="A2" s="116" t="s">
        <v>132</v>
      </c>
      <c r="B2" s="118" t="s">
        <v>133</v>
      </c>
      <c r="C2" s="118" t="s">
        <v>404</v>
      </c>
      <c r="D2" s="210" t="s">
        <v>405</v>
      </c>
      <c r="E2" s="117" t="s">
        <v>136</v>
      </c>
      <c r="F2" s="117" t="s">
        <v>137</v>
      </c>
      <c r="G2" s="292" t="s">
        <v>138</v>
      </c>
      <c r="H2" s="292" t="s">
        <v>138</v>
      </c>
      <c r="I2" s="293">
        <v>3.5</v>
      </c>
      <c r="J2" s="293">
        <v>108</v>
      </c>
      <c r="K2" s="293">
        <v>33</v>
      </c>
      <c r="L2" s="293">
        <v>163</v>
      </c>
      <c r="M2" s="294">
        <v>0.04</v>
      </c>
      <c r="N2" s="295">
        <v>0.78900000000000003</v>
      </c>
      <c r="O2" s="294">
        <v>0.87</v>
      </c>
      <c r="P2" s="117" t="s">
        <v>406</v>
      </c>
      <c r="Q2" s="117">
        <v>30</v>
      </c>
      <c r="R2" s="117" t="s">
        <v>141</v>
      </c>
      <c r="S2" s="118" t="s">
        <v>140</v>
      </c>
      <c r="T2" s="119" t="s">
        <v>141</v>
      </c>
      <c r="U2" s="210" t="s">
        <v>407</v>
      </c>
      <c r="V2" s="211" t="s">
        <v>408</v>
      </c>
      <c r="W2" s="119" t="s">
        <v>141</v>
      </c>
      <c r="X2" s="213" t="s">
        <v>409</v>
      </c>
      <c r="Y2" s="212" t="s">
        <v>410</v>
      </c>
      <c r="Z2" s="219" t="s">
        <v>138</v>
      </c>
      <c r="AA2" s="57" t="s">
        <v>141</v>
      </c>
      <c r="AB2" s="206" t="s">
        <v>411</v>
      </c>
      <c r="AC2" s="95" t="s">
        <v>144</v>
      </c>
      <c r="AD2" s="313">
        <v>1118.8</v>
      </c>
      <c r="AE2" s="313">
        <v>1118.8</v>
      </c>
      <c r="AF2" s="222">
        <v>32064</v>
      </c>
      <c r="AG2" s="222">
        <v>33564</v>
      </c>
      <c r="AH2" s="222">
        <v>33564</v>
      </c>
      <c r="AI2" s="117" t="s">
        <v>141</v>
      </c>
      <c r="AJ2" s="120">
        <v>1000</v>
      </c>
      <c r="AK2" s="121" t="s">
        <v>138</v>
      </c>
      <c r="AL2" s="121" t="s">
        <v>138</v>
      </c>
      <c r="AM2" s="121" t="s">
        <v>138</v>
      </c>
      <c r="AN2" s="50">
        <v>15</v>
      </c>
      <c r="AO2" s="30">
        <v>10</v>
      </c>
      <c r="AP2" s="50">
        <v>15</v>
      </c>
      <c r="AQ2" s="117" t="s">
        <v>138</v>
      </c>
      <c r="AR2" s="210" t="s">
        <v>412</v>
      </c>
      <c r="AS2" s="362" t="s">
        <v>138</v>
      </c>
      <c r="AT2" s="360">
        <v>32064</v>
      </c>
      <c r="AU2" s="360">
        <v>33564</v>
      </c>
      <c r="AV2" s="360">
        <v>33564</v>
      </c>
      <c r="BE2" s="123"/>
    </row>
    <row r="3" spans="1:57" s="122" customFormat="1">
      <c r="A3" s="331" t="s">
        <v>413</v>
      </c>
      <c r="B3" s="127" t="s">
        <v>414</v>
      </c>
      <c r="C3" s="127" t="s">
        <v>415</v>
      </c>
      <c r="D3" s="210" t="s">
        <v>416</v>
      </c>
      <c r="E3" s="124" t="s">
        <v>417</v>
      </c>
      <c r="F3" s="124" t="s">
        <v>170</v>
      </c>
      <c r="G3" s="292" t="s">
        <v>138</v>
      </c>
      <c r="H3" s="292" t="s">
        <v>138</v>
      </c>
      <c r="I3" s="293">
        <v>3.3</v>
      </c>
      <c r="J3" s="293">
        <v>97</v>
      </c>
      <c r="K3" s="292" t="s">
        <v>138</v>
      </c>
      <c r="L3" s="293">
        <v>347</v>
      </c>
      <c r="M3" s="294">
        <v>0.02</v>
      </c>
      <c r="N3" s="295">
        <v>0.40100000000000002</v>
      </c>
      <c r="O3" s="294">
        <v>0.67</v>
      </c>
      <c r="P3" s="124" t="s">
        <v>418</v>
      </c>
      <c r="Q3" s="124">
        <v>30</v>
      </c>
      <c r="R3" s="124" t="s">
        <v>419</v>
      </c>
      <c r="S3" s="118" t="s">
        <v>420</v>
      </c>
      <c r="T3" s="124" t="s">
        <v>141</v>
      </c>
      <c r="U3" s="210" t="s">
        <v>421</v>
      </c>
      <c r="V3" s="127" t="s">
        <v>422</v>
      </c>
      <c r="W3" s="124" t="s">
        <v>141</v>
      </c>
      <c r="X3" s="213" t="s">
        <v>423</v>
      </c>
      <c r="Y3" s="215" t="s">
        <v>424</v>
      </c>
      <c r="Z3" s="219" t="s">
        <v>138</v>
      </c>
      <c r="AA3" s="57" t="s">
        <v>141</v>
      </c>
      <c r="AB3" s="220" t="s">
        <v>425</v>
      </c>
      <c r="AC3" s="46">
        <v>1260</v>
      </c>
      <c r="AD3" s="223">
        <v>1260</v>
      </c>
      <c r="AE3" s="224">
        <v>1260</v>
      </c>
      <c r="AF3" s="222">
        <v>60480</v>
      </c>
      <c r="AG3" s="222">
        <v>60480</v>
      </c>
      <c r="AH3" s="222">
        <v>60480</v>
      </c>
      <c r="AI3" s="124" t="s">
        <v>141</v>
      </c>
      <c r="AJ3" s="126" t="s">
        <v>138</v>
      </c>
      <c r="AK3" s="121" t="s">
        <v>138</v>
      </c>
      <c r="AL3" s="121" t="s">
        <v>138</v>
      </c>
      <c r="AM3" s="121" t="s">
        <v>138</v>
      </c>
      <c r="AN3" s="50">
        <v>33</v>
      </c>
      <c r="AO3" s="30">
        <v>59</v>
      </c>
      <c r="AP3" s="124" t="s">
        <v>138</v>
      </c>
      <c r="AQ3" s="124" t="s">
        <v>138</v>
      </c>
      <c r="AR3" s="124" t="s">
        <v>138</v>
      </c>
      <c r="AS3" s="363" t="s">
        <v>138</v>
      </c>
      <c r="AT3" s="348">
        <v>34620</v>
      </c>
      <c r="AU3" s="348">
        <v>34620</v>
      </c>
      <c r="AV3" s="348">
        <v>34620</v>
      </c>
    </row>
    <row r="4" spans="1:57" s="122" customFormat="1">
      <c r="A4" s="209" t="s">
        <v>244</v>
      </c>
      <c r="B4" s="127" t="s">
        <v>426</v>
      </c>
      <c r="C4" s="127" t="s">
        <v>415</v>
      </c>
      <c r="D4" s="210" t="s">
        <v>427</v>
      </c>
      <c r="E4" s="124" t="s">
        <v>428</v>
      </c>
      <c r="F4" s="124" t="s">
        <v>249</v>
      </c>
      <c r="G4" s="292" t="s">
        <v>138</v>
      </c>
      <c r="H4" s="292" t="s">
        <v>138</v>
      </c>
      <c r="I4" s="293">
        <v>3.3</v>
      </c>
      <c r="J4" s="293">
        <v>96</v>
      </c>
      <c r="K4" s="293">
        <v>30</v>
      </c>
      <c r="L4" s="293">
        <v>195</v>
      </c>
      <c r="M4" s="294">
        <v>0</v>
      </c>
      <c r="N4" s="295">
        <v>0.55900000000000005</v>
      </c>
      <c r="O4" s="294">
        <v>0.95</v>
      </c>
      <c r="P4" s="50">
        <v>24</v>
      </c>
      <c r="Q4" s="50">
        <v>30</v>
      </c>
      <c r="R4" s="124" t="s">
        <v>141</v>
      </c>
      <c r="S4" s="127" t="s">
        <v>429</v>
      </c>
      <c r="T4" s="124" t="s">
        <v>141</v>
      </c>
      <c r="U4" s="210" t="s">
        <v>430</v>
      </c>
      <c r="V4" s="127" t="s">
        <v>431</v>
      </c>
      <c r="W4" s="124" t="s">
        <v>141</v>
      </c>
      <c r="X4" s="213" t="s">
        <v>432</v>
      </c>
      <c r="Y4" s="216" t="s">
        <v>433</v>
      </c>
      <c r="Z4" s="219" t="s">
        <v>138</v>
      </c>
      <c r="AA4" s="57" t="s">
        <v>141</v>
      </c>
      <c r="AB4" s="206" t="s">
        <v>434</v>
      </c>
      <c r="AC4" s="128">
        <v>568.79999999999995</v>
      </c>
      <c r="AD4" s="225">
        <v>568.79999999999995</v>
      </c>
      <c r="AE4" s="225">
        <v>568.79999999999995</v>
      </c>
      <c r="AF4" s="222">
        <v>17064</v>
      </c>
      <c r="AG4" s="222">
        <v>17064</v>
      </c>
      <c r="AH4" s="222">
        <v>17064</v>
      </c>
      <c r="AI4" s="124" t="s">
        <v>141</v>
      </c>
      <c r="AJ4" s="126" t="s">
        <v>138</v>
      </c>
      <c r="AK4" s="121" t="s">
        <v>138</v>
      </c>
      <c r="AL4" s="121" t="s">
        <v>138</v>
      </c>
      <c r="AM4" s="121" t="s">
        <v>138</v>
      </c>
      <c r="AN4" s="50">
        <v>2</v>
      </c>
      <c r="AO4" s="157" t="s">
        <v>138</v>
      </c>
      <c r="AP4" s="124" t="s">
        <v>138</v>
      </c>
      <c r="AQ4" s="51">
        <v>0.94</v>
      </c>
      <c r="AR4" s="124" t="s">
        <v>138</v>
      </c>
      <c r="AS4" s="363" t="s">
        <v>138</v>
      </c>
      <c r="AT4" s="365">
        <v>17064</v>
      </c>
      <c r="AU4" s="365">
        <v>17064</v>
      </c>
      <c r="AV4" s="365">
        <v>17064</v>
      </c>
    </row>
    <row r="5" spans="1:57" s="122" customFormat="1">
      <c r="A5" s="209" t="s">
        <v>435</v>
      </c>
      <c r="B5" s="127" t="s">
        <v>436</v>
      </c>
      <c r="C5" s="127" t="s">
        <v>437</v>
      </c>
      <c r="D5" s="210" t="s">
        <v>438</v>
      </c>
      <c r="E5" s="124" t="s">
        <v>439</v>
      </c>
      <c r="F5" s="124" t="s">
        <v>214</v>
      </c>
      <c r="G5" s="292" t="s">
        <v>138</v>
      </c>
      <c r="H5" s="292" t="s">
        <v>138</v>
      </c>
      <c r="I5" s="293">
        <v>3.3</v>
      </c>
      <c r="J5" s="293">
        <v>166</v>
      </c>
      <c r="K5" s="293">
        <v>36</v>
      </c>
      <c r="L5" s="293">
        <v>211</v>
      </c>
      <c r="M5" s="294">
        <v>0.04</v>
      </c>
      <c r="N5" s="295">
        <v>0.58399999999999996</v>
      </c>
      <c r="O5" s="294">
        <v>0.91</v>
      </c>
      <c r="P5" s="50">
        <v>24</v>
      </c>
      <c r="Q5" s="50">
        <v>31</v>
      </c>
      <c r="R5" s="124" t="s">
        <v>141</v>
      </c>
      <c r="S5" s="127" t="s">
        <v>440</v>
      </c>
      <c r="T5" s="124" t="s">
        <v>139</v>
      </c>
      <c r="U5" s="124" t="s">
        <v>138</v>
      </c>
      <c r="V5" s="124" t="s">
        <v>138</v>
      </c>
      <c r="W5" s="124" t="s">
        <v>141</v>
      </c>
      <c r="X5" s="213" t="s">
        <v>441</v>
      </c>
      <c r="Y5" s="216" t="s">
        <v>442</v>
      </c>
      <c r="Z5" s="219" t="s">
        <v>138</v>
      </c>
      <c r="AA5" s="57" t="s">
        <v>141</v>
      </c>
      <c r="AB5" s="206" t="s">
        <v>443</v>
      </c>
      <c r="AC5" s="50">
        <v>1850</v>
      </c>
      <c r="AD5" s="222">
        <v>1850</v>
      </c>
      <c r="AE5" s="222">
        <v>1850</v>
      </c>
      <c r="AF5" s="222">
        <v>55500</v>
      </c>
      <c r="AG5" s="222">
        <v>55500</v>
      </c>
      <c r="AH5" s="222">
        <v>55500</v>
      </c>
      <c r="AI5" s="124" t="s">
        <v>141</v>
      </c>
      <c r="AJ5" s="126" t="s">
        <v>138</v>
      </c>
      <c r="AK5" s="121">
        <f>(($Q5*AC5)/SUM($AR5:$AS5))*12</f>
        <v>4.9052730616259677</v>
      </c>
      <c r="AL5" s="121">
        <f t="shared" ref="AL5:AM6" si="0">(($Q5*AD5)/SUM($AR5:$AS5))*12</f>
        <v>4.9052730616259677</v>
      </c>
      <c r="AM5" s="121">
        <f t="shared" si="0"/>
        <v>4.9052730616259677</v>
      </c>
      <c r="AN5" s="55" t="s">
        <v>138</v>
      </c>
      <c r="AO5" s="157" t="s">
        <v>138</v>
      </c>
      <c r="AP5" s="124" t="s">
        <v>138</v>
      </c>
      <c r="AQ5" s="51">
        <v>0.88</v>
      </c>
      <c r="AR5" s="50">
        <v>119750</v>
      </c>
      <c r="AS5" s="364">
        <v>20548</v>
      </c>
      <c r="AT5" s="348">
        <v>57350</v>
      </c>
      <c r="AU5" s="348">
        <v>57350</v>
      </c>
      <c r="AV5" s="348">
        <v>57350</v>
      </c>
    </row>
    <row r="6" spans="1:57" s="122" customFormat="1">
      <c r="A6" s="209" t="s">
        <v>444</v>
      </c>
      <c r="B6" s="127" t="s">
        <v>445</v>
      </c>
      <c r="C6" s="127" t="s">
        <v>446</v>
      </c>
      <c r="D6" s="210" t="s">
        <v>447</v>
      </c>
      <c r="E6" s="124" t="s">
        <v>448</v>
      </c>
      <c r="F6" s="124" t="s">
        <v>449</v>
      </c>
      <c r="G6" s="292" t="s">
        <v>138</v>
      </c>
      <c r="H6" s="292" t="s">
        <v>138</v>
      </c>
      <c r="I6" s="293">
        <v>3.2</v>
      </c>
      <c r="J6" s="293">
        <v>92</v>
      </c>
      <c r="K6" s="293">
        <v>34</v>
      </c>
      <c r="L6" s="293">
        <v>160</v>
      </c>
      <c r="M6" s="294">
        <v>7.0000000000000007E-2</v>
      </c>
      <c r="N6" s="295">
        <v>0.29899999999999999</v>
      </c>
      <c r="O6" s="294">
        <v>0.7</v>
      </c>
      <c r="P6" s="124" t="s">
        <v>450</v>
      </c>
      <c r="Q6" s="124">
        <v>30</v>
      </c>
      <c r="R6" s="124" t="s">
        <v>141</v>
      </c>
      <c r="S6" s="124" t="s">
        <v>138</v>
      </c>
      <c r="T6" s="124" t="s">
        <v>141</v>
      </c>
      <c r="U6" s="210" t="s">
        <v>451</v>
      </c>
      <c r="V6" s="127" t="s">
        <v>452</v>
      </c>
      <c r="W6" s="124" t="s">
        <v>141</v>
      </c>
      <c r="X6" s="213" t="s">
        <v>453</v>
      </c>
      <c r="Y6" s="216" t="s">
        <v>454</v>
      </c>
      <c r="Z6" s="219" t="s">
        <v>138</v>
      </c>
      <c r="AA6" s="57" t="s">
        <v>141</v>
      </c>
      <c r="AB6" s="206" t="s">
        <v>455</v>
      </c>
      <c r="AC6" s="50">
        <v>1379</v>
      </c>
      <c r="AD6" s="222">
        <v>1379</v>
      </c>
      <c r="AE6" s="222">
        <v>1379</v>
      </c>
      <c r="AF6" s="222">
        <v>41370</v>
      </c>
      <c r="AG6" s="222">
        <v>41370</v>
      </c>
      <c r="AH6" s="222">
        <v>41370</v>
      </c>
      <c r="AI6" s="124" t="s">
        <v>141</v>
      </c>
      <c r="AJ6" s="120">
        <v>500</v>
      </c>
      <c r="AK6" s="121">
        <f>(($Q6*AC6)/SUM($AR6:$AS6))*12</f>
        <v>6.7086486486486487</v>
      </c>
      <c r="AL6" s="121">
        <f t="shared" si="0"/>
        <v>6.7086486486486487</v>
      </c>
      <c r="AM6" s="121">
        <f t="shared" si="0"/>
        <v>6.7086486486486487</v>
      </c>
      <c r="AN6" s="50">
        <v>114</v>
      </c>
      <c r="AO6" s="157" t="s">
        <v>138</v>
      </c>
      <c r="AP6" s="124" t="s">
        <v>138</v>
      </c>
      <c r="AQ6" s="124" t="s">
        <v>138</v>
      </c>
      <c r="AR6" s="50">
        <v>74000</v>
      </c>
      <c r="AS6" s="363" t="s">
        <v>138</v>
      </c>
      <c r="AT6" s="348">
        <v>41370</v>
      </c>
      <c r="AU6" s="348">
        <v>41370</v>
      </c>
      <c r="AV6" s="348">
        <v>41370</v>
      </c>
    </row>
    <row r="7" spans="1:57" s="122" customFormat="1">
      <c r="A7" s="209" t="s">
        <v>456</v>
      </c>
      <c r="B7" s="127" t="s">
        <v>457</v>
      </c>
      <c r="C7" s="127" t="s">
        <v>446</v>
      </c>
      <c r="D7" s="210" t="s">
        <v>458</v>
      </c>
      <c r="E7" s="124" t="s">
        <v>459</v>
      </c>
      <c r="F7" s="124" t="s">
        <v>460</v>
      </c>
      <c r="G7" s="292" t="s">
        <v>138</v>
      </c>
      <c r="H7" s="292" t="s">
        <v>138</v>
      </c>
      <c r="I7" s="293">
        <v>3.6</v>
      </c>
      <c r="J7" s="292" t="s">
        <v>138</v>
      </c>
      <c r="K7" s="293">
        <v>29</v>
      </c>
      <c r="L7" s="293">
        <v>44</v>
      </c>
      <c r="M7" s="294">
        <v>0.03</v>
      </c>
      <c r="N7" s="293">
        <v>76.7</v>
      </c>
      <c r="O7" s="294">
        <v>0.81</v>
      </c>
      <c r="P7" s="50">
        <v>11</v>
      </c>
      <c r="Q7" s="50">
        <v>30</v>
      </c>
      <c r="R7" s="124" t="s">
        <v>141</v>
      </c>
      <c r="S7" s="127" t="s">
        <v>461</v>
      </c>
      <c r="T7" s="124" t="s">
        <v>141</v>
      </c>
      <c r="U7" s="210" t="s">
        <v>462</v>
      </c>
      <c r="V7" s="127" t="s">
        <v>463</v>
      </c>
      <c r="W7" s="124" t="s">
        <v>141</v>
      </c>
      <c r="X7" s="213" t="s">
        <v>464</v>
      </c>
      <c r="Y7" s="216" t="s">
        <v>465</v>
      </c>
      <c r="Z7" s="219" t="s">
        <v>138</v>
      </c>
      <c r="AA7" s="57" t="s">
        <v>141</v>
      </c>
      <c r="AB7" s="206" t="s">
        <v>466</v>
      </c>
      <c r="AC7" s="50">
        <v>945</v>
      </c>
      <c r="AD7" s="222">
        <v>945</v>
      </c>
      <c r="AE7" s="222">
        <v>945</v>
      </c>
      <c r="AF7" s="222">
        <v>28350</v>
      </c>
      <c r="AG7" s="222">
        <v>28350</v>
      </c>
      <c r="AH7" s="222">
        <v>28350</v>
      </c>
      <c r="AI7" s="124" t="s">
        <v>141</v>
      </c>
      <c r="AJ7" s="120"/>
      <c r="AK7" s="121" t="s">
        <v>138</v>
      </c>
      <c r="AL7" s="121" t="s">
        <v>138</v>
      </c>
      <c r="AM7" s="121" t="s">
        <v>138</v>
      </c>
      <c r="AN7" s="55" t="s">
        <v>138</v>
      </c>
      <c r="AO7" s="157" t="s">
        <v>138</v>
      </c>
      <c r="AP7" s="124" t="s">
        <v>138</v>
      </c>
      <c r="AQ7" s="124" t="s">
        <v>138</v>
      </c>
      <c r="AR7" s="124" t="s">
        <v>138</v>
      </c>
      <c r="AS7" s="363" t="s">
        <v>138</v>
      </c>
      <c r="AT7" s="365">
        <v>28350</v>
      </c>
      <c r="AU7" s="365">
        <v>28350</v>
      </c>
      <c r="AV7" s="365">
        <v>28350</v>
      </c>
    </row>
    <row r="8" spans="1:57" s="122" customFormat="1">
      <c r="A8" s="209" t="s">
        <v>467</v>
      </c>
      <c r="B8" s="127" t="s">
        <v>468</v>
      </c>
      <c r="C8" s="127" t="s">
        <v>469</v>
      </c>
      <c r="D8" s="210" t="s">
        <v>470</v>
      </c>
      <c r="E8" s="124" t="s">
        <v>471</v>
      </c>
      <c r="F8" s="124" t="s">
        <v>231</v>
      </c>
      <c r="G8" s="296" t="s">
        <v>138</v>
      </c>
      <c r="H8" s="296" t="s">
        <v>138</v>
      </c>
      <c r="I8" s="297" t="s">
        <v>138</v>
      </c>
      <c r="J8" s="297" t="s">
        <v>138</v>
      </c>
      <c r="K8" s="297" t="s">
        <v>138</v>
      </c>
      <c r="L8" s="297" t="s">
        <v>138</v>
      </c>
      <c r="M8" s="297" t="s">
        <v>138</v>
      </c>
      <c r="N8" s="297" t="s">
        <v>138</v>
      </c>
      <c r="O8" s="297" t="s">
        <v>138</v>
      </c>
      <c r="P8" s="182" t="s">
        <v>472</v>
      </c>
      <c r="Q8" s="124">
        <v>36</v>
      </c>
      <c r="R8" s="124" t="s">
        <v>141</v>
      </c>
      <c r="S8" s="124" t="s">
        <v>138</v>
      </c>
      <c r="T8" s="124" t="s">
        <v>141</v>
      </c>
      <c r="U8" s="210" t="s">
        <v>470</v>
      </c>
      <c r="V8" s="127" t="s">
        <v>473</v>
      </c>
      <c r="W8" s="124" t="s">
        <v>141</v>
      </c>
      <c r="X8" s="213" t="s">
        <v>474</v>
      </c>
      <c r="Y8" s="216" t="s">
        <v>475</v>
      </c>
      <c r="Z8" s="219" t="s">
        <v>138</v>
      </c>
      <c r="AA8" s="57" t="s">
        <v>141</v>
      </c>
      <c r="AB8" s="206" t="s">
        <v>476</v>
      </c>
      <c r="AC8" s="124">
        <v>799</v>
      </c>
      <c r="AD8" s="226">
        <v>799</v>
      </c>
      <c r="AE8" s="226">
        <v>799</v>
      </c>
      <c r="AF8" s="226">
        <v>28764</v>
      </c>
      <c r="AG8" s="226">
        <v>28764</v>
      </c>
      <c r="AH8" s="226">
        <v>28764</v>
      </c>
      <c r="AI8" s="124" t="s">
        <v>141</v>
      </c>
      <c r="AJ8" s="120" t="s">
        <v>138</v>
      </c>
      <c r="AK8" s="121" t="s">
        <v>138</v>
      </c>
      <c r="AL8" s="121" t="s">
        <v>138</v>
      </c>
      <c r="AM8" s="121" t="s">
        <v>138</v>
      </c>
      <c r="AN8" s="159" t="s">
        <v>138</v>
      </c>
      <c r="AO8" s="158" t="s">
        <v>138</v>
      </c>
      <c r="AP8" s="124" t="s">
        <v>138</v>
      </c>
      <c r="AQ8" s="124" t="s">
        <v>138</v>
      </c>
      <c r="AR8" s="124" t="s">
        <v>138</v>
      </c>
      <c r="AS8" s="363" t="s">
        <v>138</v>
      </c>
      <c r="AT8" s="365">
        <v>28764</v>
      </c>
      <c r="AU8" s="365">
        <v>28764</v>
      </c>
      <c r="AV8" s="365">
        <v>28764</v>
      </c>
    </row>
    <row r="9" spans="1:57" s="122" customFormat="1">
      <c r="A9" s="209" t="s">
        <v>477</v>
      </c>
      <c r="B9" s="127" t="s">
        <v>478</v>
      </c>
      <c r="C9" s="127" t="s">
        <v>479</v>
      </c>
      <c r="D9" s="210" t="s">
        <v>480</v>
      </c>
      <c r="E9" s="124" t="s">
        <v>481</v>
      </c>
      <c r="F9" s="124" t="s">
        <v>482</v>
      </c>
      <c r="G9" s="293">
        <v>490</v>
      </c>
      <c r="H9" s="298" t="s">
        <v>483</v>
      </c>
      <c r="I9" s="293">
        <v>3.4</v>
      </c>
      <c r="J9" s="293">
        <v>90</v>
      </c>
      <c r="K9" s="293">
        <v>32</v>
      </c>
      <c r="L9" s="293">
        <v>106</v>
      </c>
      <c r="M9" s="294">
        <v>0.3</v>
      </c>
      <c r="N9" s="295">
        <v>0.41399999999999998</v>
      </c>
      <c r="O9" s="294">
        <v>0.73</v>
      </c>
      <c r="P9" s="124">
        <v>36</v>
      </c>
      <c r="Q9" s="124">
        <v>30</v>
      </c>
      <c r="R9" s="124" t="s">
        <v>141</v>
      </c>
      <c r="S9" s="127" t="s">
        <v>440</v>
      </c>
      <c r="T9" s="124" t="s">
        <v>141</v>
      </c>
      <c r="U9" s="210" t="s">
        <v>484</v>
      </c>
      <c r="V9" s="127" t="s">
        <v>485</v>
      </c>
      <c r="W9" s="124" t="s">
        <v>141</v>
      </c>
      <c r="X9" s="213" t="s">
        <v>486</v>
      </c>
      <c r="Y9" s="216" t="s">
        <v>487</v>
      </c>
      <c r="Z9" s="219" t="s">
        <v>138</v>
      </c>
      <c r="AA9" s="57" t="s">
        <v>141</v>
      </c>
      <c r="AB9" s="206" t="s">
        <v>488</v>
      </c>
      <c r="AC9" s="50">
        <v>1374</v>
      </c>
      <c r="AD9" s="222">
        <v>1374</v>
      </c>
      <c r="AE9" s="222">
        <v>1374</v>
      </c>
      <c r="AF9" s="222">
        <v>41220</v>
      </c>
      <c r="AG9" s="222">
        <v>41220</v>
      </c>
      <c r="AH9" s="222">
        <v>41220</v>
      </c>
      <c r="AI9" s="124" t="s">
        <v>141</v>
      </c>
      <c r="AJ9" s="120">
        <v>500</v>
      </c>
      <c r="AK9" s="121" t="s">
        <v>138</v>
      </c>
      <c r="AL9" s="121" t="s">
        <v>138</v>
      </c>
      <c r="AM9" s="121" t="s">
        <v>138</v>
      </c>
      <c r="AN9" s="50">
        <v>7</v>
      </c>
      <c r="AO9" s="30">
        <v>79</v>
      </c>
      <c r="AP9" s="50">
        <v>26</v>
      </c>
      <c r="AQ9" s="124" t="s">
        <v>138</v>
      </c>
      <c r="AR9" s="124" t="s">
        <v>138</v>
      </c>
      <c r="AS9" s="363" t="s">
        <v>138</v>
      </c>
      <c r="AT9" s="365">
        <v>41250</v>
      </c>
      <c r="AU9" s="365">
        <v>41250</v>
      </c>
      <c r="AV9" s="365">
        <v>41250</v>
      </c>
    </row>
    <row r="10" spans="1:57" s="122" customFormat="1">
      <c r="A10" s="331" t="s">
        <v>489</v>
      </c>
      <c r="B10" s="127" t="s">
        <v>490</v>
      </c>
      <c r="C10" s="127" t="s">
        <v>491</v>
      </c>
      <c r="D10" s="210" t="s">
        <v>492</v>
      </c>
      <c r="E10" s="124" t="s">
        <v>493</v>
      </c>
      <c r="F10" s="124" t="s">
        <v>494</v>
      </c>
      <c r="G10" s="293">
        <v>648</v>
      </c>
      <c r="H10" s="298" t="s">
        <v>495</v>
      </c>
      <c r="I10" s="293">
        <v>3.4</v>
      </c>
      <c r="J10" s="293">
        <v>97</v>
      </c>
      <c r="K10" s="293">
        <v>33</v>
      </c>
      <c r="L10" s="293">
        <v>166</v>
      </c>
      <c r="M10" s="294">
        <v>0.05</v>
      </c>
      <c r="N10" s="295">
        <v>0.28799999999999998</v>
      </c>
      <c r="O10" s="294">
        <v>0.69</v>
      </c>
      <c r="P10" s="124">
        <v>18</v>
      </c>
      <c r="Q10" s="124">
        <v>30</v>
      </c>
      <c r="R10" s="124" t="s">
        <v>141</v>
      </c>
      <c r="S10" s="127" t="s">
        <v>496</v>
      </c>
      <c r="T10" s="124" t="s">
        <v>141</v>
      </c>
      <c r="U10" s="210" t="s">
        <v>497</v>
      </c>
      <c r="V10" s="127" t="s">
        <v>498</v>
      </c>
      <c r="W10" s="124" t="s">
        <v>141</v>
      </c>
      <c r="X10" s="213" t="s">
        <v>499</v>
      </c>
      <c r="Y10" s="216" t="s">
        <v>500</v>
      </c>
      <c r="Z10" s="219" t="s">
        <v>138</v>
      </c>
      <c r="AA10" s="76" t="s">
        <v>141</v>
      </c>
      <c r="AB10" s="221" t="s">
        <v>501</v>
      </c>
      <c r="AC10" s="50">
        <v>700</v>
      </c>
      <c r="AD10" s="222">
        <v>700</v>
      </c>
      <c r="AE10" s="222">
        <v>700</v>
      </c>
      <c r="AF10" s="222">
        <v>33600</v>
      </c>
      <c r="AG10" s="222">
        <v>33600</v>
      </c>
      <c r="AH10" s="222">
        <v>33600</v>
      </c>
      <c r="AI10" s="124" t="s">
        <v>141</v>
      </c>
      <c r="AJ10" s="126" t="s">
        <v>138</v>
      </c>
      <c r="AK10" s="121">
        <f>(($Q10*AC10)/SUM($AR10:$AS10))*12</f>
        <v>2.6318537859007836</v>
      </c>
      <c r="AL10" s="121">
        <f t="shared" ref="AL10:AM11" si="1">(($Q10*AD10)/SUM($AR10:$AS10))*12</f>
        <v>2.6318537859007836</v>
      </c>
      <c r="AM10" s="121">
        <f t="shared" si="1"/>
        <v>2.6318537859007836</v>
      </c>
      <c r="AN10" s="50">
        <v>14</v>
      </c>
      <c r="AO10" s="157" t="s">
        <v>138</v>
      </c>
      <c r="AP10" s="124" t="s">
        <v>138</v>
      </c>
      <c r="AQ10" s="124" t="s">
        <v>138</v>
      </c>
      <c r="AR10" s="124">
        <v>95750</v>
      </c>
      <c r="AS10" s="363" t="s">
        <v>138</v>
      </c>
      <c r="AT10" s="366">
        <v>21300</v>
      </c>
      <c r="AU10" s="366">
        <v>21300</v>
      </c>
      <c r="AV10" s="366">
        <v>21300</v>
      </c>
    </row>
    <row r="11" spans="1:57" s="122" customFormat="1">
      <c r="A11" s="331" t="s">
        <v>502</v>
      </c>
      <c r="B11" s="127" t="s">
        <v>503</v>
      </c>
      <c r="C11" s="127" t="s">
        <v>504</v>
      </c>
      <c r="D11" s="210" t="s">
        <v>505</v>
      </c>
      <c r="E11" s="124" t="s">
        <v>506</v>
      </c>
      <c r="F11" s="124" t="s">
        <v>507</v>
      </c>
      <c r="G11" s="293">
        <v>583</v>
      </c>
      <c r="H11" s="298" t="s">
        <v>508</v>
      </c>
      <c r="I11" s="293">
        <v>3.3</v>
      </c>
      <c r="J11" s="293">
        <v>98</v>
      </c>
      <c r="K11" s="293">
        <v>32</v>
      </c>
      <c r="L11" s="293">
        <v>167</v>
      </c>
      <c r="M11" s="294">
        <v>0.01</v>
      </c>
      <c r="N11" s="295">
        <v>0.314</v>
      </c>
      <c r="O11" s="294">
        <v>0.72</v>
      </c>
      <c r="P11" s="124">
        <v>18</v>
      </c>
      <c r="Q11" s="124">
        <v>30</v>
      </c>
      <c r="R11" s="124" t="s">
        <v>141</v>
      </c>
      <c r="S11" s="127" t="s">
        <v>509</v>
      </c>
      <c r="T11" s="124" t="s">
        <v>141</v>
      </c>
      <c r="U11" s="210" t="s">
        <v>505</v>
      </c>
      <c r="V11" s="127" t="s">
        <v>510</v>
      </c>
      <c r="W11" s="124" t="s">
        <v>141</v>
      </c>
      <c r="X11" s="213" t="s">
        <v>511</v>
      </c>
      <c r="Y11" s="217" t="s">
        <v>512</v>
      </c>
      <c r="Z11" s="219" t="s">
        <v>138</v>
      </c>
      <c r="AA11" s="57" t="s">
        <v>141</v>
      </c>
      <c r="AB11" s="206" t="s">
        <v>513</v>
      </c>
      <c r="AC11" s="125">
        <v>950</v>
      </c>
      <c r="AD11" s="222">
        <v>950</v>
      </c>
      <c r="AE11" s="222">
        <v>950</v>
      </c>
      <c r="AF11" s="222">
        <v>37300</v>
      </c>
      <c r="AG11" s="222">
        <v>37300</v>
      </c>
      <c r="AH11" s="222">
        <v>37300</v>
      </c>
      <c r="AI11" s="124" t="s">
        <v>141</v>
      </c>
      <c r="AJ11" s="126" t="s">
        <v>138</v>
      </c>
      <c r="AK11" s="121">
        <f>(($Q11*AC11)/SUM($AR11:$AS11))*12</f>
        <v>5.6065573770491808</v>
      </c>
      <c r="AL11" s="121">
        <f t="shared" si="1"/>
        <v>5.6065573770491808</v>
      </c>
      <c r="AM11" s="121">
        <f t="shared" si="1"/>
        <v>5.6065573770491808</v>
      </c>
      <c r="AN11" s="50">
        <v>25</v>
      </c>
      <c r="AO11" s="157" t="s">
        <v>138</v>
      </c>
      <c r="AP11" s="124" t="s">
        <v>138</v>
      </c>
      <c r="AQ11" s="51">
        <v>0.81</v>
      </c>
      <c r="AR11" s="120">
        <v>61000</v>
      </c>
      <c r="AS11" s="363" t="s">
        <v>138</v>
      </c>
      <c r="AT11" s="366">
        <v>30290</v>
      </c>
      <c r="AU11" s="366">
        <v>30290</v>
      </c>
      <c r="AV11" s="366">
        <v>30290</v>
      </c>
    </row>
    <row r="12" spans="1:57" s="122" customFormat="1">
      <c r="A12" s="331" t="s">
        <v>177</v>
      </c>
      <c r="B12" s="127" t="s">
        <v>514</v>
      </c>
      <c r="C12" s="127" t="s">
        <v>515</v>
      </c>
      <c r="D12" s="210" t="s">
        <v>516</v>
      </c>
      <c r="E12" s="124" t="s">
        <v>181</v>
      </c>
      <c r="F12" s="124" t="s">
        <v>182</v>
      </c>
      <c r="G12" s="296" t="s">
        <v>138</v>
      </c>
      <c r="H12" s="296" t="s">
        <v>138</v>
      </c>
      <c r="I12" s="297" t="s">
        <v>138</v>
      </c>
      <c r="J12" s="297" t="s">
        <v>138</v>
      </c>
      <c r="K12" s="297" t="s">
        <v>138</v>
      </c>
      <c r="L12" s="297" t="s">
        <v>138</v>
      </c>
      <c r="M12" s="297" t="s">
        <v>138</v>
      </c>
      <c r="N12" s="297" t="s">
        <v>138</v>
      </c>
      <c r="O12" s="297" t="s">
        <v>138</v>
      </c>
      <c r="P12" s="182" t="s">
        <v>183</v>
      </c>
      <c r="Q12" s="124">
        <v>32</v>
      </c>
      <c r="R12" s="124" t="s">
        <v>141</v>
      </c>
      <c r="S12" s="131" t="s">
        <v>517</v>
      </c>
      <c r="T12" s="55" t="s">
        <v>141</v>
      </c>
      <c r="U12" s="210" t="s">
        <v>518</v>
      </c>
      <c r="V12" s="127" t="s">
        <v>519</v>
      </c>
      <c r="W12" s="124" t="s">
        <v>141</v>
      </c>
      <c r="X12" s="213" t="s">
        <v>520</v>
      </c>
      <c r="Y12" s="216" t="s">
        <v>521</v>
      </c>
      <c r="Z12" s="219" t="s">
        <v>138</v>
      </c>
      <c r="AA12" s="57" t="s">
        <v>141</v>
      </c>
      <c r="AB12" s="206" t="s">
        <v>522</v>
      </c>
      <c r="AC12" s="132">
        <v>1887.15</v>
      </c>
      <c r="AD12" s="226">
        <v>1887.15</v>
      </c>
      <c r="AE12" s="226">
        <v>1887.15</v>
      </c>
      <c r="AF12" s="226">
        <v>75486</v>
      </c>
      <c r="AG12" s="226">
        <v>75486</v>
      </c>
      <c r="AH12" s="226">
        <v>75486</v>
      </c>
      <c r="AI12" s="124" t="s">
        <v>141</v>
      </c>
      <c r="AJ12" s="126" t="s">
        <v>138</v>
      </c>
      <c r="AK12" s="121" t="s">
        <v>138</v>
      </c>
      <c r="AL12" s="121" t="s">
        <v>138</v>
      </c>
      <c r="AM12" s="121" t="s">
        <v>138</v>
      </c>
      <c r="AN12" s="55" t="s">
        <v>138</v>
      </c>
      <c r="AO12" s="157" t="s">
        <v>138</v>
      </c>
      <c r="AP12" s="124" t="s">
        <v>138</v>
      </c>
      <c r="AQ12" s="124" t="s">
        <v>138</v>
      </c>
      <c r="AR12" s="124" t="s">
        <v>138</v>
      </c>
      <c r="AS12" s="363" t="s">
        <v>138</v>
      </c>
      <c r="AT12" s="367" t="s">
        <v>523</v>
      </c>
      <c r="AU12" s="367" t="s">
        <v>524</v>
      </c>
      <c r="AV12" s="367" t="s">
        <v>525</v>
      </c>
    </row>
    <row r="13" spans="1:57" s="122" customFormat="1">
      <c r="A13" s="331" t="s">
        <v>526</v>
      </c>
      <c r="B13" s="127" t="s">
        <v>527</v>
      </c>
      <c r="C13" s="127" t="s">
        <v>528</v>
      </c>
      <c r="D13" s="210" t="s">
        <v>529</v>
      </c>
      <c r="E13" s="124" t="s">
        <v>530</v>
      </c>
      <c r="F13" s="124" t="s">
        <v>531</v>
      </c>
      <c r="G13" s="293">
        <v>583</v>
      </c>
      <c r="H13" s="298" t="s">
        <v>532</v>
      </c>
      <c r="I13" s="293">
        <v>3.2</v>
      </c>
      <c r="J13" s="293">
        <v>97</v>
      </c>
      <c r="K13" s="293">
        <v>31</v>
      </c>
      <c r="L13" s="293">
        <v>191</v>
      </c>
      <c r="M13" s="294">
        <v>0.03</v>
      </c>
      <c r="N13" s="295">
        <v>0.374</v>
      </c>
      <c r="O13" s="294">
        <v>0.47</v>
      </c>
      <c r="P13" s="124">
        <v>16</v>
      </c>
      <c r="Q13" s="124">
        <v>30</v>
      </c>
      <c r="R13" s="124" t="s">
        <v>141</v>
      </c>
      <c r="S13" s="127" t="s">
        <v>533</v>
      </c>
      <c r="T13" s="55" t="s">
        <v>141</v>
      </c>
      <c r="U13" s="210" t="s">
        <v>534</v>
      </c>
      <c r="V13" s="127" t="s">
        <v>535</v>
      </c>
      <c r="W13" s="124" t="s">
        <v>141</v>
      </c>
      <c r="X13" s="213" t="s">
        <v>536</v>
      </c>
      <c r="Y13" s="218" t="s">
        <v>537</v>
      </c>
      <c r="Z13" s="219" t="s">
        <v>138</v>
      </c>
      <c r="AA13" s="76" t="s">
        <v>141</v>
      </c>
      <c r="AB13" s="221" t="s">
        <v>538</v>
      </c>
      <c r="AC13" s="125">
        <v>2421</v>
      </c>
      <c r="AD13" s="222">
        <v>2421</v>
      </c>
      <c r="AE13" s="222">
        <v>2421</v>
      </c>
      <c r="AF13" s="222">
        <v>125771</v>
      </c>
      <c r="AG13" s="222">
        <v>125771</v>
      </c>
      <c r="AH13" s="222">
        <v>125771</v>
      </c>
      <c r="AI13" s="124" t="s">
        <v>141</v>
      </c>
      <c r="AJ13" s="124">
        <v>2000</v>
      </c>
      <c r="AK13" s="121">
        <f>(($Q13*AC13)/SUM($AR13:$AS13))*12</f>
        <v>9.6913223324289461</v>
      </c>
      <c r="AL13" s="121">
        <f>(($Q13*AD13)/SUM($AR13:$AS13))*12</f>
        <v>9.6913223324289461</v>
      </c>
      <c r="AM13" s="121">
        <f>(($Q13*AE13)/SUM($AR13:$AS13))*12</f>
        <v>9.6913223324289461</v>
      </c>
      <c r="AN13" s="50">
        <v>4</v>
      </c>
      <c r="AO13" s="157" t="s">
        <v>138</v>
      </c>
      <c r="AP13" s="56">
        <v>2</v>
      </c>
      <c r="AQ13" s="51">
        <v>0.86</v>
      </c>
      <c r="AR13" s="50">
        <v>89932</v>
      </c>
      <c r="AS13" s="363" t="s">
        <v>138</v>
      </c>
      <c r="AT13" s="366">
        <v>82561</v>
      </c>
      <c r="AU13" s="366">
        <v>82561</v>
      </c>
      <c r="AV13" s="366">
        <v>82561</v>
      </c>
    </row>
    <row r="14" spans="1:57" s="122" customFormat="1">
      <c r="A14" s="331" t="s">
        <v>539</v>
      </c>
      <c r="B14" s="127" t="s">
        <v>540</v>
      </c>
      <c r="C14" s="127" t="s">
        <v>541</v>
      </c>
      <c r="D14" s="210" t="s">
        <v>542</v>
      </c>
      <c r="E14" s="124" t="s">
        <v>202</v>
      </c>
      <c r="F14" s="124" t="s">
        <v>203</v>
      </c>
      <c r="G14" s="293" t="s">
        <v>543</v>
      </c>
      <c r="H14" s="298" t="s">
        <v>544</v>
      </c>
      <c r="I14" s="293">
        <v>3.3</v>
      </c>
      <c r="J14" s="293">
        <v>67</v>
      </c>
      <c r="K14" s="293">
        <v>29</v>
      </c>
      <c r="L14" s="297" t="s">
        <v>138</v>
      </c>
      <c r="M14" s="297" t="s">
        <v>138</v>
      </c>
      <c r="N14" s="297" t="s">
        <v>138</v>
      </c>
      <c r="O14" s="295">
        <v>0.60299999999999998</v>
      </c>
      <c r="P14" s="124" t="s">
        <v>545</v>
      </c>
      <c r="Q14" s="124">
        <v>33</v>
      </c>
      <c r="R14" s="124" t="s">
        <v>141</v>
      </c>
      <c r="S14" s="124" t="s">
        <v>138</v>
      </c>
      <c r="T14" s="124" t="s">
        <v>141</v>
      </c>
      <c r="U14" s="210" t="s">
        <v>546</v>
      </c>
      <c r="V14" s="127" t="s">
        <v>547</v>
      </c>
      <c r="W14" s="124" t="s">
        <v>141</v>
      </c>
      <c r="X14" s="213" t="s">
        <v>207</v>
      </c>
      <c r="Y14" s="216" t="s">
        <v>548</v>
      </c>
      <c r="Z14" s="219" t="s">
        <v>138</v>
      </c>
      <c r="AA14" s="133" t="s">
        <v>141</v>
      </c>
      <c r="AB14" s="206" t="s">
        <v>549</v>
      </c>
      <c r="AC14" s="125">
        <v>1685</v>
      </c>
      <c r="AD14" s="224">
        <v>1685</v>
      </c>
      <c r="AE14" s="224">
        <v>1685</v>
      </c>
      <c r="AF14" s="222">
        <v>5055</v>
      </c>
      <c r="AG14" s="222">
        <v>5055</v>
      </c>
      <c r="AH14" s="222">
        <v>5055</v>
      </c>
      <c r="AI14" s="124" t="s">
        <v>141</v>
      </c>
      <c r="AJ14" s="124" t="s">
        <v>138</v>
      </c>
      <c r="AK14" s="121" t="s">
        <v>138</v>
      </c>
      <c r="AL14" s="121" t="s">
        <v>138</v>
      </c>
      <c r="AM14" s="121" t="s">
        <v>138</v>
      </c>
      <c r="AN14" s="55" t="s">
        <v>138</v>
      </c>
      <c r="AO14" s="157" t="s">
        <v>138</v>
      </c>
      <c r="AP14" s="124" t="s">
        <v>138</v>
      </c>
      <c r="AQ14" s="124" t="s">
        <v>138</v>
      </c>
      <c r="AR14" s="124" t="s">
        <v>138</v>
      </c>
      <c r="AS14" s="363" t="s">
        <v>138</v>
      </c>
      <c r="AT14" s="366">
        <v>57816</v>
      </c>
      <c r="AU14" s="366">
        <v>57816</v>
      </c>
      <c r="AV14" s="366">
        <v>57816</v>
      </c>
    </row>
    <row r="16" spans="1:57" ht="32.1">
      <c r="A16" s="291" t="s">
        <v>550</v>
      </c>
    </row>
  </sheetData>
  <hyperlinks>
    <hyperlink ref="D3" r:id="rId1" xr:uid="{94D49648-5A47-6142-95DE-4C3E155A66C2}"/>
    <hyperlink ref="D4" r:id="rId2" xr:uid="{F20ADAA9-4EBE-C048-B540-D4E851347151}"/>
    <hyperlink ref="D10" r:id="rId3" xr:uid="{64AB788B-2229-3C4C-8988-9D4D5C10B8E2}"/>
    <hyperlink ref="D11" r:id="rId4" xr:uid="{E932F59D-9D81-4F4A-8B97-A261D26FF5FB}"/>
    <hyperlink ref="D12" r:id="rId5" xr:uid="{7D267134-058A-8C4D-89BE-60B91D8B7BB8}"/>
    <hyperlink ref="D13" r:id="rId6" xr:uid="{79BB167E-74AA-7441-B007-9A093E127377}"/>
    <hyperlink ref="D14" r:id="rId7" xr:uid="{5F9673A2-E29E-7C46-86CA-D93557959EC2}"/>
    <hyperlink ref="D9" r:id="rId8" xr:uid="{E76474A9-E29A-B845-BBBA-B6EA9A114418}"/>
    <hyperlink ref="D7" r:id="rId9" xr:uid="{C76096BD-930A-4761-9C32-A1CA9454632F}"/>
    <hyperlink ref="D6" r:id="rId10" xr:uid="{E96FE954-E33A-4AEA-BEFB-4D011F70ED73}"/>
    <hyperlink ref="D2" r:id="rId11" xr:uid="{26E39D0B-24CF-4121-A82A-E16AD90A97D8}"/>
    <hyperlink ref="G2" r:id="rId12" xr:uid="{05CAEB99-91CE-47A4-ACDA-D5580E3BDD4F}"/>
    <hyperlink ref="H2" r:id="rId13" xr:uid="{A47A6A5C-14B9-4EA2-AE51-97965FA4AD6C}"/>
    <hyperlink ref="J2" r:id="rId14" display="108" xr:uid="{A4391B2A-6AD3-4A3C-A722-603CFC74E78C}"/>
    <hyperlink ref="AP2" r:id="rId15" display="15" xr:uid="{E2CD1A41-8E8C-4317-9055-9536BEE3D9C7}"/>
    <hyperlink ref="I2" r:id="rId16" display="3.5" xr:uid="{B591683D-3157-4784-914B-D6AC7861F352}"/>
    <hyperlink ref="O2" r:id="rId17" display="87%" xr:uid="{5D71B1F8-05C5-4845-9A69-4148208CFC15}"/>
    <hyperlink ref="L2" r:id="rId18" display="163" xr:uid="{94AFAADA-3F0D-4113-BB8B-A06035CD9DCA}"/>
    <hyperlink ref="M2" r:id="rId19" display="4%" xr:uid="{F83993C3-4B1F-4A1A-9ABF-2CB57D814C0D}"/>
    <hyperlink ref="N2" r:id="rId20" display="78.90%" xr:uid="{06A77E05-6883-4677-A0D3-DE347EBFD872}"/>
    <hyperlink ref="K2" r:id="rId21" display="33" xr:uid="{D9590B35-DDB4-41B0-97EF-DADE104EBB36}"/>
    <hyperlink ref="AF2" r:id="rId22" display="15750" xr:uid="{388CE0FA-9DDE-4541-9916-1770BF20F924}"/>
    <hyperlink ref="AG2" r:id="rId23" display="23450" xr:uid="{BF561D99-F342-4916-B9CF-3A5D4E58A9E9}"/>
    <hyperlink ref="G3:H3" r:id="rId24" display="NA" xr:uid="{27F69AEC-26E2-477A-9E58-57F3F844E7FC}"/>
    <hyperlink ref="I3" r:id="rId25" display="3.3" xr:uid="{ACB9BC1B-CBD6-4CC1-90FD-90039C821DC2}"/>
    <hyperlink ref="J3" r:id="rId26" display="97" xr:uid="{D3B2A298-8BFE-43DA-A866-72B52115A311}"/>
    <hyperlink ref="O3" r:id="rId27" display="67%" xr:uid="{BA1557F3-B0DB-472F-99C9-8F5188BF6D85}"/>
    <hyperlink ref="L3" r:id="rId28" display="347" xr:uid="{E68E2E14-15F6-484B-A747-FC9C55B8C01B}"/>
    <hyperlink ref="M3:N3" r:id="rId29" display="2%" xr:uid="{EF0D20D1-6A39-4923-8CE3-E9AC91722038}"/>
    <hyperlink ref="AF3:AG3" r:id="rId30" display="60480" xr:uid="{5489C28C-649C-4709-9E86-7D34EAC4E884}"/>
    <hyperlink ref="X3" r:id="rId31" xr:uid="{7BAFA542-2323-4AF6-B600-56AD5A2224FA}"/>
    <hyperlink ref="U3" r:id="rId32" location="smeal-advantage:~:text=A%20real%2Dworld%20perspective" xr:uid="{168D5551-122A-4E9D-A7E9-772182602B10}"/>
    <hyperlink ref="AN3" r:id="rId33" display="33" xr:uid="{04AA2BEF-578D-4073-9A42-CB17739E263F}"/>
    <hyperlink ref="AO3" r:id="rId34" display="59" xr:uid="{D15A0E06-6461-4DEA-8257-3A6C842BDE3F}"/>
    <hyperlink ref="G10:O10" r:id="rId35" display="648" xr:uid="{BCAF2A2A-6348-4C64-AB92-9EC256FAEBBB}"/>
    <hyperlink ref="AN10" r:id="rId36" display="14" xr:uid="{DD866615-E9FA-4980-802E-5C99EBCDD9FE}"/>
    <hyperlink ref="AC10:AD10" r:id="rId37" display="700" xr:uid="{8BB37756-E8C4-4203-A30B-377FD2841A72}"/>
    <hyperlink ref="AF10:AG10" r:id="rId38" display="33600" xr:uid="{489528EC-554F-44F9-88EE-8C58FBC31556}"/>
    <hyperlink ref="G11:O11" r:id="rId39" display="583" xr:uid="{D264DC01-6372-43A4-BC5E-D39279D770AB}"/>
    <hyperlink ref="AC11:AD11" r:id="rId40" display="950" xr:uid="{7E6646DB-5B89-4FD5-B833-3C7566CB09FF}"/>
    <hyperlink ref="AF11:AG11" r:id="rId41" display="37300" xr:uid="{FFDEA978-68FD-41D4-80FA-CB952AF1DB9B}"/>
    <hyperlink ref="X10" r:id="rId42" xr:uid="{9166A0EE-5CC8-46E8-8FB1-554FC3F49331}"/>
    <hyperlink ref="X11" r:id="rId43" xr:uid="{7E8C44C5-551A-4036-9462-34A929DE99F4}"/>
    <hyperlink ref="AN11" r:id="rId44" display="25" xr:uid="{F546886D-9388-4FD4-8784-D99E38510473}"/>
    <hyperlink ref="U13" r:id="rId45" location=":~:text=Experiential%20Learning%20Requirement" xr:uid="{4AA660E6-78F1-4F70-9152-ABD8E7467CD0}"/>
    <hyperlink ref="AN13" r:id="rId46" location=":~:text=SUPPLY%20CHAIN%20INSTITUTE-,Program%20Rankings,-View%20previous%20content" display="4" xr:uid="{C719C004-5D17-4856-BA4B-DE7263814D57}"/>
    <hyperlink ref="AQ13" r:id="rId47" display="86" xr:uid="{A1EF9610-C709-454B-82CD-EDAC34B8F376}"/>
    <hyperlink ref="AR13" r:id="rId48" display="89932" xr:uid="{15D2C50D-C346-4AD1-BBA8-E7D0B8C2EF25}"/>
    <hyperlink ref="G13:O13" r:id="rId49" display="583" xr:uid="{9380FBCE-CA0E-4A6E-B558-CC742C05157F}"/>
    <hyperlink ref="AC13:AD13" r:id="rId50" display="2421" xr:uid="{3656938D-7934-44FA-9964-66A1C1166475}"/>
    <hyperlink ref="AF13:AG13" r:id="rId51" display="125771" xr:uid="{8371CCA0-7086-442A-ADDD-F2DBD501E595}"/>
    <hyperlink ref="X13" r:id="rId52" xr:uid="{DC06D193-7D7B-41F9-BBA3-954ADE6247A1}"/>
    <hyperlink ref="G4:L4" r:id="rId53" display="NA" xr:uid="{59105E37-3756-4A47-AB12-7712B6682666}"/>
    <hyperlink ref="M4:N4" r:id="rId54" display="0%" xr:uid="{5430F3F8-9A0D-4184-AC35-6A344067C33E}"/>
    <hyperlink ref="O4" r:id="rId55" display="95%" xr:uid="{E3397F1D-B59E-4BB7-975F-B21E13C29586}"/>
    <hyperlink ref="P4:Q4" r:id="rId56" display="24 (avg)" xr:uid="{1CF1B9DE-8F11-45B7-941B-27D7E50B7205}"/>
    <hyperlink ref="AN4" r:id="rId57" display="2" xr:uid="{7126A96A-FE00-4339-BB0F-C8AB1B40E1D8}"/>
    <hyperlink ref="G6:O6" r:id="rId58" display="NA" xr:uid="{7934D532-3611-4598-B6CC-492123787C1F}"/>
    <hyperlink ref="AC6:AD6" r:id="rId59" display="1379" xr:uid="{AC06E634-7E63-46F3-8906-BCBE8468EA64}"/>
    <hyperlink ref="AF6:AG6" r:id="rId60" display="41370" xr:uid="{05F97157-8097-457F-9FB8-2ED6E41F5E98}"/>
    <hyperlink ref="AN6" r:id="rId61" display="114" xr:uid="{8378F3D9-8B4A-461E-9968-29D8D7BF52BD}"/>
    <hyperlink ref="P7" r:id="rId62" display="11" xr:uid="{D94FBF31-71FB-491B-ADB0-E4760ACB957A}"/>
    <hyperlink ref="AN9" r:id="rId63" display="7" xr:uid="{DE132CBB-5642-4F45-A581-576528FF57C8}"/>
    <hyperlink ref="G9:O9" r:id="rId64" display="490" xr:uid="{C96C9019-E418-43F9-8FC3-4752CD6CCD1C}"/>
    <hyperlink ref="AF9:AG9" r:id="rId65" display="41220" xr:uid="{72622FDF-DD6B-4109-B367-080746B6FD4C}"/>
    <hyperlink ref="AC9:AD9" r:id="rId66" display="1374" xr:uid="{F3D49CA3-D0D6-4993-9491-3E2291E75267}"/>
    <hyperlink ref="AO9" r:id="rId67" display="79" xr:uid="{30987005-DCF0-4CFB-A133-580103A8B0A8}"/>
    <hyperlink ref="AP9" r:id="rId68" display="26" xr:uid="{9730A0A6-D106-4266-A199-79892B2F4B90}"/>
    <hyperlink ref="G7:O7" r:id="rId69" display="NA" xr:uid="{9E81715F-D346-4924-B0EA-804A473E4BB0}"/>
    <hyperlink ref="Q7" r:id="rId70" display="30" xr:uid="{ECDC8639-B82D-46E1-8A1B-19455A6416DD}"/>
    <hyperlink ref="K3" r:id="rId71" xr:uid="{BFEA80AE-4406-4A9B-B4DE-B97A6122EC90}"/>
    <hyperlink ref="D5" r:id="rId72" display="https://explore.michiganstateuniversityonline.com/ms-scm?utm_source=google&amp;utm_medium=cpc&amp;utm_campaign=MSU_FY2026_Google_Grad_Search_SCM_Brand&amp;utm_content=&amp;utm_term=msu%20masters%20in%20supply%20chain&amp;utm_matchtype=e&amp;utm_network=g&amp;campaignid=701R700000YGj2TIAT&amp;utm_adposition=&amp;device=c&amp;vendorid=2109937&amp;gad_source=1&amp;gad_campaignid=22882753646&amp;gbraid=0AAAAAD_Vru_TcQyWfEKvyDbYZPo8mz3P3&amp;gclid=CjwKCAjwlOrFBhBaEiwAw4bYDalXDJdpkNTNBnHu6pqXocSOb41HVxRhEoMNmGEunqCG_DFmWeEbFxoCS7kQAvD_BwE" xr:uid="{41401328-DC94-4924-AC6C-DAD7DAD55FB8}"/>
    <hyperlink ref="P5:Q5" r:id="rId73" display="24" xr:uid="{387FE84C-0E3E-4350-8E14-48FCA55D0B7F}"/>
    <hyperlink ref="G5:O5" r:id="rId74" display="NA" xr:uid="{56EA466F-726B-4178-8579-2BA0AFB50178}"/>
    <hyperlink ref="U12" r:id="rId75" location="cost" xr:uid="{D4884130-C00F-405F-8A75-B76162FA8CE2}"/>
    <hyperlink ref="S12" r:id="rId76" location=":~:text=Application%20Deadlines" xr:uid="{38411556-11C7-4A5E-90CF-7CB0A346D037}"/>
    <hyperlink ref="X12" r:id="rId77" xr:uid="{091A9FA7-46FB-44CA-BE96-39EB47A0E7E5}"/>
    <hyperlink ref="AB12" r:id="rId78" xr:uid="{9A82F82E-19EB-4C91-8CB4-6EE2661A1650}"/>
    <hyperlink ref="I14" r:id="rId79" display="3.3" xr:uid="{7119AD75-4398-4C4A-950D-E383379098ED}"/>
    <hyperlink ref="J14" r:id="rId80" display="67" xr:uid="{BF368184-B7DA-4C53-8E15-8AF320EE7B3A}"/>
    <hyperlink ref="K14" r:id="rId81" display="29" xr:uid="{1913EC58-1149-468E-829E-A654FE5B2869}"/>
    <hyperlink ref="O14" r:id="rId82" display="60.30%" xr:uid="{5237DC64-98A4-4225-AACE-FFC9ED0CE569}"/>
    <hyperlink ref="G14" r:id="rId83" xr:uid="{9FB33016-880B-44B0-99CD-AFE4D12BF118}"/>
    <hyperlink ref="H14" r:id="rId84" xr:uid="{6CDEDA8E-5EE4-4B5F-8485-D20B8BFC2BDB}"/>
    <hyperlink ref="U14" r:id="rId85" location=":~:text=Through%20a%20blend,leading%20consulting%20firms" xr:uid="{6E7696BF-62D2-46E3-B829-23E5D7346087}"/>
    <hyperlink ref="X14" r:id="rId86" xr:uid="{4B605B3F-DBB9-40CF-AFC9-6E98962A3415}"/>
    <hyperlink ref="AB14" r:id="rId87" xr:uid="{DF752585-B89B-4C2F-97B4-5DAD7C2BE629}"/>
    <hyperlink ref="U4" r:id="rId88" xr:uid="{2FC75AA0-175A-4AD3-A980-B55E20629FA6}"/>
    <hyperlink ref="X4" r:id="rId89" xr:uid="{578D38BE-A481-45E9-916D-E7403947F71D}"/>
    <hyperlink ref="AB4" r:id="rId90" xr:uid="{3E234F07-6EF0-4FE7-9967-0EE0C7F8074E}"/>
    <hyperlink ref="AC3:AE3" r:id="rId91" display="1260" xr:uid="{0B298DFA-0DD3-4F2E-9214-0F6727CFA220}"/>
    <hyperlink ref="X5" r:id="rId92" xr:uid="{3AB871B0-8213-47AE-8A35-04213176905C}"/>
    <hyperlink ref="AB5" r:id="rId93" xr:uid="{4156573A-96F8-46F6-AB88-2C6C55038044}"/>
    <hyperlink ref="U2" r:id="rId94" xr:uid="{749A41C6-BC73-4F23-94F4-101C533E5714}"/>
    <hyperlink ref="AB2" r:id="rId95" xr:uid="{D7F171D9-B24A-4FCA-BAC5-9453B8E463AA}"/>
    <hyperlink ref="X2" r:id="rId96" xr:uid="{B79A64D0-4D1F-4381-AE6E-DC622DD9293E}"/>
    <hyperlink ref="U6" r:id="rId97" location=":~:text=three%2Dday%2C%20in%2Dperson%20immersion" xr:uid="{F32B0BF9-BA30-47BF-9BCE-53743EF877B8}"/>
    <hyperlink ref="X6" r:id="rId98" xr:uid="{74E238FC-8FDF-476F-BC9B-F823E5E879C7}"/>
    <hyperlink ref="AB6" r:id="rId99" xr:uid="{C40D91ED-FF2A-41ED-BD52-95F1E5FB3431}"/>
    <hyperlink ref="AB3" r:id="rId100" xr:uid="{655D9E25-E9C6-4764-A8E8-2933EA2B6B2C}"/>
    <hyperlink ref="X7" r:id="rId101" xr:uid="{D6C0C80F-04EA-495B-B6FF-2DFFA1C95496}"/>
    <hyperlink ref="X9" r:id="rId102" xr:uid="{D022A48A-8A09-4DA0-A2F0-7CC435BBE6D3}"/>
    <hyperlink ref="AB7" r:id="rId103" xr:uid="{992420FA-45D6-45C6-8EF6-B3386DD29FEF}"/>
    <hyperlink ref="AB9" r:id="rId104" xr:uid="{0A76DEBD-E953-49E9-B50E-D3766FFBC43A}"/>
    <hyperlink ref="AB10" r:id="rId105" location=":~:text=Meet%20With%20a%20Career%20Coach,)%20are%20available%20year%2D%20round" xr:uid="{DFE380D8-9DC2-473A-BAC1-7BB84E2E8AF4}"/>
    <hyperlink ref="AB11" r:id="rId106" xr:uid="{78D44539-122F-4C7E-B885-CE148DDB40CA}"/>
    <hyperlink ref="AB13" r:id="rId107" xr:uid="{991F7A52-E1B0-452D-81AB-2B74F22895A2}"/>
    <hyperlink ref="U7" r:id="rId108" xr:uid="{F116865F-5157-466C-8902-FEB3BAFF56D8}"/>
    <hyperlink ref="AC7" r:id="rId109" location=":~:text=Pay%20the%20same%20online%20tuition%20rate%2C%20no%20matter%20where%20you%20live." display="945" xr:uid="{0E9DDB0C-8EB1-4552-833C-D08FE00A49E3}"/>
    <hyperlink ref="AD7" r:id="rId110" location=":~:text=Pay%20the%20same%20online%20tuition%20rate%2C%20no%20matter%20where%20you%20live." display="945" xr:uid="{4252B2AD-F100-42A8-A031-D649FE6CFA31}"/>
    <hyperlink ref="AF7:AG7" r:id="rId111" display="28350" xr:uid="{BE4BB1AF-6473-4A5A-83E0-667ADF08F9AF}"/>
    <hyperlink ref="U9" r:id="rId112" xr:uid="{F908C249-6031-4721-B139-89279C8A2D44}"/>
    <hyperlink ref="U10" r:id="rId113" xr:uid="{46489313-0FB4-4702-88E7-041E49F62558}"/>
    <hyperlink ref="U11" r:id="rId114" xr:uid="{2ABC641B-C9AC-47A4-9FD1-32F29CAB9A50}"/>
    <hyperlink ref="AC14" r:id="rId115" display="1685" xr:uid="{8B36A4AC-CD1D-452E-8A7F-7E4DA9D60F42}"/>
    <hyperlink ref="AD14" r:id="rId116" display="1685" xr:uid="{CC8B5611-83CA-47CA-8365-851D973FE64F}"/>
    <hyperlink ref="AF14" r:id="rId117" display="5055" xr:uid="{92E2ED9D-A7C0-4409-B2B2-0F63D4E3AD95}"/>
    <hyperlink ref="AG14" r:id="rId118" display="5055" xr:uid="{8386CEE8-D426-4AD1-B63A-E97B4087CF09}"/>
    <hyperlink ref="AF2:AG2" r:id="rId119" display="32064" xr:uid="{34F5EBAF-A1F2-41B7-A73D-0BFE9A3B4D8C}"/>
    <hyperlink ref="AC4:AH4" r:id="rId120" display="568.8" xr:uid="{573CC8D4-3646-4472-99DD-B771DB0FA3FF}"/>
    <hyperlink ref="AH3" r:id="rId121" display="60480" xr:uid="{E6AF2C1B-1B4E-4FF6-8849-A3CDB0D8EB62}"/>
    <hyperlink ref="AC5:AD5" r:id="rId122" display="1850" xr:uid="{D075C507-87C7-480D-8EF9-BD4938F71D5C}"/>
    <hyperlink ref="AF5:AG5" r:id="rId123" display="55500" xr:uid="{83BA5D81-9019-4B77-A2F0-08DC05D4A5B0}"/>
    <hyperlink ref="AN2" r:id="rId124" location=":~:text=complemented%20by%20electives-,%2315,-MS%20Supply%20Chain" display="15" xr:uid="{4F647AD9-00F8-4CBB-B5E7-025A3EC0FBEC}"/>
    <hyperlink ref="AP13" r:id="rId125" location=":~:text=SUPPLY%20CHAIN%20INSTITUTE-,Program%20Rankings,-View%20previous%20content" display="2" xr:uid="{77A0567A-D4F4-4ED8-BAD8-C00F51F9560C}"/>
    <hyperlink ref="AH2" r:id="rId126" display="23450" xr:uid="{E6C64D6C-2CD5-4183-9410-C2D702B98DF4}"/>
    <hyperlink ref="AH5" r:id="rId127" display="55500" xr:uid="{1009594B-A8ED-476D-9476-E75AAFCBE1A3}"/>
    <hyperlink ref="AH10" r:id="rId128" display="33600" xr:uid="{9E9E676D-C82D-4B87-8C31-03191EBEDBBE}"/>
    <hyperlink ref="AH11" r:id="rId129" display="37300" xr:uid="{61A691B4-2944-4B32-A164-B2CF1BEE2320}"/>
    <hyperlink ref="AH13" r:id="rId130" display="125771" xr:uid="{B952D68F-310D-4090-819C-663329136556}"/>
    <hyperlink ref="AH9" r:id="rId131" display="41220" xr:uid="{0705FBE0-9DD8-4EBF-9574-AE00075CB5E5}"/>
    <hyperlink ref="AH7" r:id="rId132" display="28350" xr:uid="{D72CEE77-83FD-4D9B-9AB3-53AD7CCA1BE2}"/>
    <hyperlink ref="AH14" r:id="rId133" display="5055" xr:uid="{23268F97-B347-435B-857F-AADB6D2540CC}"/>
    <hyperlink ref="AH6" r:id="rId134" display="41370" xr:uid="{D6146DDA-CE5A-47A3-8075-533BAB30358B}"/>
    <hyperlink ref="AE10" r:id="rId135" display="700" xr:uid="{5AEEF730-1CD4-419F-A5CE-93E19B637A34}"/>
    <hyperlink ref="AE11" r:id="rId136" display="950" xr:uid="{B9A3E605-FA8E-407E-910A-ECD78225AD9C}"/>
    <hyperlink ref="AE13" r:id="rId137" display="2421" xr:uid="{2012CDE2-1BAA-432A-BF59-56ACD3347ADC}"/>
    <hyperlink ref="AE6" r:id="rId138" display="1379" xr:uid="{402D068E-404E-4FF1-AEFF-78C2835229D5}"/>
    <hyperlink ref="AE9" r:id="rId139" display="1374" xr:uid="{EA283BA2-47EC-4F5E-AC3C-EABDED9B53D7}"/>
    <hyperlink ref="AE7" r:id="rId140" location=":~:text=Pay%20the%20same%20online%20tuition%20rate%2C%20no%20matter%20where%20you%20live." display="945" xr:uid="{DD51E32A-DDD1-4394-AA89-78177DCB1CB5}"/>
    <hyperlink ref="AE14" r:id="rId141" display="1685" xr:uid="{F9157DC7-5058-45E3-BDCD-18FF84D0BE2E}"/>
    <hyperlink ref="AE5" r:id="rId142" display="1850" xr:uid="{49FC31F8-DEC1-419C-96F8-15FCDA90831A}"/>
    <hyperlink ref="AR2" r:id="rId143" xr:uid="{A344AF86-DDBF-441D-9E23-499A85F78BB2}"/>
    <hyperlink ref="AQ4" r:id="rId144" display="94%" xr:uid="{EDAC1264-F329-4920-9C56-B5ABFD9F4BFA}"/>
    <hyperlink ref="AQ5" r:id="rId145" display="88%" xr:uid="{57E3092E-168F-4A67-ACE6-E56A0F4D4E42}"/>
    <hyperlink ref="AR5:AS5" r:id="rId146" display="119750" xr:uid="{F627D4F8-485A-42C2-9E0A-ED9A81E38347}"/>
    <hyperlink ref="AR6" r:id="rId147" location=":~:text=A%20supply%20chain%20professional's%20salary,as%20a%20supply%20chain%20manager." display="74000" xr:uid="{241D308A-2083-45E1-9CB7-4DE97707496B}"/>
    <hyperlink ref="AQ11:AR11" r:id="rId148" display="81%" xr:uid="{579D558A-79D6-4E6B-946A-65DE785F5472}"/>
    <hyperlink ref="AJ2" r:id="rId149" display="$1,000 " xr:uid="{32049A90-64DC-44A2-9F63-58780D6381F1}"/>
    <hyperlink ref="AJ6" r:id="rId150" display="$500 " xr:uid="{CCB1AB18-7F0D-4611-AD7E-97F6F20FDE9A}"/>
    <hyperlink ref="AJ8:AJ9" r:id="rId151" display="$500 " xr:uid="{1AB938A8-3503-42DA-8C2F-F3F8EFC57A4B}"/>
    <hyperlink ref="D8" r:id="rId152" xr:uid="{A4E9E1DD-B8F7-4234-AE8A-781B5666AB95}"/>
    <hyperlink ref="U8" r:id="rId153" xr:uid="{253186B9-3F51-45C6-B02A-D5CFD07026DC}"/>
    <hyperlink ref="X8" r:id="rId154" xr:uid="{487B62FD-3F19-4E8E-A0E5-EAE876031DD6}"/>
    <hyperlink ref="AB8" r:id="rId155" xr:uid="{DEB6F832-2521-4E55-94E8-C09BFC7455E2}"/>
    <hyperlink ref="AO2:AO14" r:id="rId156" display="10" xr:uid="{E3DD4CD2-8971-4E6C-9B9D-4E32198CBDE7}"/>
    <hyperlink ref="AT3" r:id="rId157" location="costs" display="$34,620 " xr:uid="{9CA52E1A-B853-4344-B977-15AFEB98BE68}"/>
    <hyperlink ref="AU3" r:id="rId158" location="costs" display="$34,620 " xr:uid="{E942493A-2D72-46B1-A54A-7C099CB915AE}"/>
    <hyperlink ref="AV3" r:id="rId159" location="costs" display="$34,620 " xr:uid="{BCC48271-F9B2-43B2-A42B-E0FFB394C99A}"/>
    <hyperlink ref="AT5" r:id="rId160" display="$57,350 " xr:uid="{7F72F064-ED56-4B3D-828C-C99C6A8AAE2E}"/>
    <hyperlink ref="AU5" r:id="rId161" display="$57,350 " xr:uid="{0AAEDD38-01EF-4CDA-BD4D-0CC5D301D7AD}"/>
    <hyperlink ref="AV5" r:id="rId162" display="$57,350 " xr:uid="{4A4864EC-078D-48DF-A5F8-3EC00D3EA292}"/>
    <hyperlink ref="AT6" r:id="rId163" display="$41,370 " xr:uid="{31BF7702-15CF-4AB4-A847-DD465175EDB6}"/>
    <hyperlink ref="AU6" r:id="rId164" display="$41,370 " xr:uid="{3A20C1B4-83A3-4378-9F95-673F38CFD9DC}"/>
    <hyperlink ref="AV6" r:id="rId165" display="$41,370 " xr:uid="{C5294E11-2F43-4EEA-9700-11F62661BAA0}"/>
    <hyperlink ref="AT4:AV4" r:id="rId166" display="568.8" xr:uid="{F922388E-FFEE-4514-83A5-B68C5CBB9B8C}"/>
    <hyperlink ref="AT4" r:id="rId167" display="$17,064" xr:uid="{9C095AC6-F7A1-4317-AC3C-B2774729B3FE}"/>
    <hyperlink ref="AU4" r:id="rId168" display="$17,064" xr:uid="{3053CDCE-DDF1-4286-AB73-B6B6ED1BC4ED}"/>
    <hyperlink ref="AV4" r:id="rId169" display="$17,064" xr:uid="{8FE42FFE-CC56-4093-8E03-3805265CDF42}"/>
    <hyperlink ref="AT7:AU7" r:id="rId170" display="28350" xr:uid="{68F9954A-C57F-4714-ADBA-DF4813918686}"/>
    <hyperlink ref="AV7" r:id="rId171" display="28350" xr:uid="{7B180A11-6632-402A-92F9-B0C4313BF488}"/>
    <hyperlink ref="AT8" r:id="rId172" display="$28,764" xr:uid="{178E67AE-037B-420B-B702-3FCCD8A80EE4}"/>
    <hyperlink ref="AU8" r:id="rId173" display="$28,764" xr:uid="{B0D2FBD3-29BD-43DC-8E3F-87E64AB2EA4B}"/>
    <hyperlink ref="AV8" r:id="rId174" display="$28,764" xr:uid="{2C6AD255-8BB3-4672-8E93-2D1A487776B4}"/>
    <hyperlink ref="AT9:AU9" r:id="rId175" display="41220" xr:uid="{489871D6-D149-43CA-905D-D284E422412D}"/>
    <hyperlink ref="AV9" r:id="rId176" display="$41,250" xr:uid="{AD59DB05-5A35-4E24-A554-E52C2FD05DA5}"/>
    <hyperlink ref="AT9" r:id="rId177" display="$41,250" xr:uid="{02E476B9-E0D4-4CCF-B540-EAB6B198992F}"/>
    <hyperlink ref="AU9" r:id="rId178" display="$41,250" xr:uid="{DBF3D9A8-42D5-4A45-83D6-B4330D192B5F}"/>
    <hyperlink ref="AT10:AV10" r:id="rId179" display="$21,300 " xr:uid="{60D1001B-E762-4E55-899D-2BC47F421F21}"/>
    <hyperlink ref="AT11:AV11" r:id="rId180" display="$30,290 " xr:uid="{5C21ADA7-4441-4684-874F-46C859869771}"/>
    <hyperlink ref="AT12:AV12" r:id="rId181" display="$27,204–$30,708" xr:uid="{07D9E4A2-CFEB-44C2-AC7F-635AAC9FFA21}"/>
    <hyperlink ref="AT13:AV13" r:id="rId182" location=":~:text=Table_title:%20Tuition%20and%20Fees%20Table_content:%20header:%20%7C,%7C%20:%2031%20%7C%20:%20$75%2C539%20%7C" display="$82,561 " xr:uid="{3750FE4C-57AC-4CE2-AD32-A61416C3D12B}"/>
    <hyperlink ref="AT14:AV14" r:id="rId183" display="$57,816 " xr:uid="{CE9562E5-56AA-4406-980D-ADD2FFB7EB5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2D95-5BD3-495D-AE09-BBBD7C71BC02}">
  <sheetPr>
    <tabColor theme="4" tint="0.59999389629810485"/>
  </sheetPr>
  <dimension ref="A1:BE18"/>
  <sheetViews>
    <sheetView workbookViewId="0">
      <pane xSplit="1" ySplit="1" topLeftCell="AS2" activePane="bottomRight" state="frozen"/>
      <selection pane="bottomRight" activeCell="AV28" sqref="AV28"/>
      <selection pane="bottomLeft" activeCell="A2" sqref="A2"/>
      <selection pane="topRight" activeCell="B1" sqref="B1"/>
    </sheetView>
  </sheetViews>
  <sheetFormatPr defaultColWidth="8.85546875" defaultRowHeight="15"/>
  <cols>
    <col min="1" max="1" width="32.42578125" style="32" customWidth="1"/>
    <col min="2" max="2" width="32" style="25" customWidth="1"/>
    <col min="3" max="3" width="24.42578125" style="25" customWidth="1"/>
    <col min="4" max="4" width="16" style="25" customWidth="1"/>
    <col min="5" max="5" width="14.42578125" style="25" bestFit="1" customWidth="1"/>
    <col min="6" max="6" width="14.85546875" style="25" bestFit="1" customWidth="1"/>
    <col min="7" max="7" width="14.42578125" style="25" bestFit="1" customWidth="1"/>
    <col min="8" max="8" width="15" style="25" customWidth="1"/>
    <col min="9" max="9" width="26.85546875" style="25" bestFit="1" customWidth="1"/>
    <col min="10" max="10" width="24.140625" style="25" bestFit="1" customWidth="1"/>
    <col min="11" max="11" width="19.7109375" style="25" bestFit="1" customWidth="1"/>
    <col min="12" max="12" width="9.28515625" style="25" bestFit="1" customWidth="1"/>
    <col min="13" max="13" width="16" style="25" bestFit="1" customWidth="1"/>
    <col min="14" max="14" width="10.85546875" style="25" bestFit="1" customWidth="1"/>
    <col min="15" max="15" width="11.42578125" style="25" bestFit="1" customWidth="1"/>
    <col min="16" max="16" width="18.28515625" style="25" bestFit="1" customWidth="1"/>
    <col min="17" max="17" width="12.140625" style="25" bestFit="1" customWidth="1"/>
    <col min="18" max="18" width="19" style="25" bestFit="1" customWidth="1"/>
    <col min="19" max="19" width="23.140625" style="25" customWidth="1"/>
    <col min="20" max="20" width="48.7109375" style="25" customWidth="1"/>
    <col min="21" max="21" width="49" style="25" customWidth="1"/>
    <col min="22" max="22" width="57.140625" style="25" customWidth="1"/>
    <col min="23" max="23" width="22.85546875" style="25" bestFit="1" customWidth="1"/>
    <col min="24" max="24" width="22.85546875" style="25" customWidth="1"/>
    <col min="25" max="25" width="30.42578125" style="32" customWidth="1"/>
    <col min="26" max="26" width="32.42578125" style="25" customWidth="1"/>
    <col min="27" max="27" width="48.42578125" style="25" customWidth="1"/>
    <col min="28" max="28" width="45.7109375" style="25" customWidth="1"/>
    <col min="29" max="29" width="24.140625" style="25" bestFit="1" customWidth="1"/>
    <col min="30" max="30" width="28.42578125" style="25" bestFit="1" customWidth="1"/>
    <col min="31" max="31" width="28.85546875" style="25" bestFit="1" customWidth="1"/>
    <col min="32" max="32" width="19.7109375" style="25" bestFit="1" customWidth="1"/>
    <col min="33" max="33" width="24" style="25" bestFit="1" customWidth="1"/>
    <col min="34" max="34" width="24.42578125" style="25" bestFit="1" customWidth="1"/>
    <col min="35" max="35" width="12.7109375" style="25" customWidth="1"/>
    <col min="36" max="36" width="11.7109375" style="25" customWidth="1"/>
    <col min="37" max="37" width="54.7109375" style="49" bestFit="1" customWidth="1"/>
    <col min="38" max="39" width="54.7109375" style="49" customWidth="1"/>
    <col min="40" max="40" width="18.85546875" style="25" bestFit="1" customWidth="1"/>
    <col min="41" max="41" width="26.140625" style="25" bestFit="1" customWidth="1"/>
    <col min="42" max="42" width="12.28515625" style="25" bestFit="1" customWidth="1"/>
    <col min="43" max="43" width="16" style="25" bestFit="1" customWidth="1"/>
    <col min="44" max="44" width="24.28515625" style="25" bestFit="1" customWidth="1"/>
    <col min="45" max="45" width="23.7109375" style="25" bestFit="1" customWidth="1"/>
    <col min="46" max="46" width="26" style="25" bestFit="1" customWidth="1"/>
    <col min="47" max="47" width="30.140625" style="25" bestFit="1" customWidth="1"/>
    <col min="48" max="48" width="30.7109375" style="25" bestFit="1" customWidth="1"/>
    <col min="49" max="51" width="8.85546875" style="25"/>
    <col min="52" max="52" width="16" style="25" bestFit="1" customWidth="1"/>
    <col min="53" max="16384" width="8.85546875" style="25"/>
  </cols>
  <sheetData>
    <row r="1" spans="1:57" ht="15" customHeight="1">
      <c r="A1" s="112" t="s">
        <v>4</v>
      </c>
      <c r="B1" s="111" t="s">
        <v>6</v>
      </c>
      <c r="C1" s="111" t="s">
        <v>7</v>
      </c>
      <c r="D1" s="111" t="s">
        <v>11</v>
      </c>
      <c r="E1" s="111" t="s">
        <v>82</v>
      </c>
      <c r="F1" s="111" t="s">
        <v>83</v>
      </c>
      <c r="G1" s="111" t="s">
        <v>84</v>
      </c>
      <c r="H1" s="111" t="s">
        <v>85</v>
      </c>
      <c r="I1" s="111" t="s">
        <v>14</v>
      </c>
      <c r="J1" s="111" t="s">
        <v>86</v>
      </c>
      <c r="K1" s="111" t="s">
        <v>20</v>
      </c>
      <c r="L1" s="111" t="s">
        <v>21</v>
      </c>
      <c r="M1" s="111" t="s">
        <v>24</v>
      </c>
      <c r="N1" s="111" t="s">
        <v>26</v>
      </c>
      <c r="O1" s="111" t="s">
        <v>23</v>
      </c>
      <c r="P1" s="111" t="s">
        <v>30</v>
      </c>
      <c r="Q1" s="111" t="s">
        <v>38</v>
      </c>
      <c r="R1" s="111" t="s">
        <v>33</v>
      </c>
      <c r="S1" s="111" t="s">
        <v>36</v>
      </c>
      <c r="T1" s="113" t="s">
        <v>87</v>
      </c>
      <c r="U1" s="114" t="s">
        <v>88</v>
      </c>
      <c r="V1" s="114" t="s">
        <v>89</v>
      </c>
      <c r="W1" s="113" t="s">
        <v>90</v>
      </c>
      <c r="X1" s="113" t="s">
        <v>91</v>
      </c>
      <c r="Y1" s="115" t="s">
        <v>92</v>
      </c>
      <c r="Z1" s="111" t="s">
        <v>93</v>
      </c>
      <c r="AA1" s="67" t="s">
        <v>269</v>
      </c>
      <c r="AB1" s="67" t="s">
        <v>270</v>
      </c>
      <c r="AC1" s="111" t="s">
        <v>94</v>
      </c>
      <c r="AD1" s="111" t="s">
        <v>95</v>
      </c>
      <c r="AE1" s="111" t="s">
        <v>96</v>
      </c>
      <c r="AF1" s="111" t="s">
        <v>97</v>
      </c>
      <c r="AG1" s="111" t="s">
        <v>98</v>
      </c>
      <c r="AH1" s="111" t="s">
        <v>99</v>
      </c>
      <c r="AI1" s="111" t="s">
        <v>55</v>
      </c>
      <c r="AJ1" s="111" t="s">
        <v>57</v>
      </c>
      <c r="AK1" s="266" t="s">
        <v>126</v>
      </c>
      <c r="AL1" s="265" t="s">
        <v>127</v>
      </c>
      <c r="AM1" s="265" t="s">
        <v>128</v>
      </c>
      <c r="AN1" s="111" t="s">
        <v>62</v>
      </c>
      <c r="AO1" s="111" t="s">
        <v>64</v>
      </c>
      <c r="AP1" s="111" t="s">
        <v>101</v>
      </c>
      <c r="AQ1" s="111" t="s">
        <v>102</v>
      </c>
      <c r="AR1" s="111" t="s">
        <v>69</v>
      </c>
      <c r="AS1" s="111" t="s">
        <v>71</v>
      </c>
      <c r="AT1" s="347" t="s">
        <v>129</v>
      </c>
      <c r="AU1" s="347" t="s">
        <v>130</v>
      </c>
      <c r="AV1" s="347" t="s">
        <v>131</v>
      </c>
      <c r="BE1" s="31"/>
    </row>
    <row r="2" spans="1:57" s="52" customFormat="1">
      <c r="A2" s="135" t="s">
        <v>132</v>
      </c>
      <c r="B2" s="124" t="s">
        <v>133</v>
      </c>
      <c r="C2" s="332" t="s">
        <v>551</v>
      </c>
      <c r="D2" s="210" t="s">
        <v>552</v>
      </c>
      <c r="E2" s="124" t="s">
        <v>136</v>
      </c>
      <c r="F2" s="124" t="s">
        <v>137</v>
      </c>
      <c r="G2" s="292" t="s">
        <v>138</v>
      </c>
      <c r="H2" s="292" t="s">
        <v>138</v>
      </c>
      <c r="I2" s="293" t="s">
        <v>138</v>
      </c>
      <c r="J2" s="292">
        <v>108</v>
      </c>
      <c r="K2" s="293">
        <v>25</v>
      </c>
      <c r="L2" s="293">
        <v>380</v>
      </c>
      <c r="M2" s="295">
        <v>0.66800000000000004</v>
      </c>
      <c r="N2" s="295">
        <v>0.45300000000000001</v>
      </c>
      <c r="O2" s="295">
        <v>0.48399999999999999</v>
      </c>
      <c r="P2" s="124" t="s">
        <v>153</v>
      </c>
      <c r="Q2" s="124">
        <v>30</v>
      </c>
      <c r="R2" s="124" t="s">
        <v>141</v>
      </c>
      <c r="S2" s="127" t="s">
        <v>553</v>
      </c>
      <c r="T2" s="124" t="s">
        <v>554</v>
      </c>
      <c r="U2" s="210" t="s">
        <v>555</v>
      </c>
      <c r="V2" s="127" t="s">
        <v>556</v>
      </c>
      <c r="W2" s="124" t="s">
        <v>141</v>
      </c>
      <c r="X2" s="210" t="s">
        <v>409</v>
      </c>
      <c r="Y2" s="230" t="s">
        <v>557</v>
      </c>
      <c r="Z2" s="104" t="s">
        <v>138</v>
      </c>
      <c r="AA2" s="57" t="s">
        <v>141</v>
      </c>
      <c r="AB2" s="206" t="s">
        <v>558</v>
      </c>
      <c r="AC2" s="95" t="s">
        <v>144</v>
      </c>
      <c r="AD2" s="313">
        <v>1118.8</v>
      </c>
      <c r="AE2" s="313">
        <v>1118.8</v>
      </c>
      <c r="AF2" s="226">
        <v>32064</v>
      </c>
      <c r="AG2" s="226">
        <v>33564</v>
      </c>
      <c r="AH2" s="226">
        <v>33564</v>
      </c>
      <c r="AI2" s="124" t="s">
        <v>141</v>
      </c>
      <c r="AJ2" s="226">
        <v>1000</v>
      </c>
      <c r="AK2" s="129" t="s">
        <v>138</v>
      </c>
      <c r="AL2" s="129" t="s">
        <v>138</v>
      </c>
      <c r="AM2" s="129" t="s">
        <v>138</v>
      </c>
      <c r="AN2" s="55" t="s">
        <v>138</v>
      </c>
      <c r="AO2" s="50">
        <v>1</v>
      </c>
      <c r="AP2" s="157" t="s">
        <v>138</v>
      </c>
      <c r="AQ2" s="124" t="s">
        <v>138</v>
      </c>
      <c r="AR2" s="126" t="s">
        <v>559</v>
      </c>
      <c r="AS2" s="363" t="s">
        <v>138</v>
      </c>
      <c r="AT2" s="369">
        <v>32040</v>
      </c>
      <c r="AU2" s="369">
        <v>33540</v>
      </c>
      <c r="AV2" s="369">
        <v>33540</v>
      </c>
    </row>
    <row r="3" spans="1:57" s="52" customFormat="1">
      <c r="A3" s="135" t="s">
        <v>560</v>
      </c>
      <c r="B3" s="124" t="s">
        <v>561</v>
      </c>
      <c r="C3" s="332" t="s">
        <v>562</v>
      </c>
      <c r="D3" s="210" t="s">
        <v>563</v>
      </c>
      <c r="E3" s="124" t="s">
        <v>136</v>
      </c>
      <c r="F3" s="124" t="s">
        <v>137</v>
      </c>
      <c r="G3" s="292" t="s">
        <v>138</v>
      </c>
      <c r="H3" s="292" t="s">
        <v>138</v>
      </c>
      <c r="I3" s="292" t="s">
        <v>138</v>
      </c>
      <c r="J3" s="292" t="s">
        <v>138</v>
      </c>
      <c r="K3" s="292" t="s">
        <v>138</v>
      </c>
      <c r="L3" s="292" t="s">
        <v>138</v>
      </c>
      <c r="M3" s="292" t="s">
        <v>138</v>
      </c>
      <c r="N3" s="292" t="s">
        <v>138</v>
      </c>
      <c r="O3" s="292" t="s">
        <v>138</v>
      </c>
      <c r="P3" s="124">
        <v>18</v>
      </c>
      <c r="Q3" s="124">
        <v>56</v>
      </c>
      <c r="R3" s="124" t="s">
        <v>139</v>
      </c>
      <c r="S3" s="127" t="s">
        <v>564</v>
      </c>
      <c r="T3" s="124" t="s">
        <v>141</v>
      </c>
      <c r="U3" s="210" t="s">
        <v>565</v>
      </c>
      <c r="V3" s="127" t="s">
        <v>566</v>
      </c>
      <c r="W3" s="124" t="s">
        <v>141</v>
      </c>
      <c r="X3" s="210" t="s">
        <v>567</v>
      </c>
      <c r="Y3" s="230" t="s">
        <v>568</v>
      </c>
      <c r="Z3" s="104" t="s">
        <v>138</v>
      </c>
      <c r="AA3" s="57" t="s">
        <v>141</v>
      </c>
      <c r="AB3" s="206" t="s">
        <v>294</v>
      </c>
      <c r="AC3" s="222">
        <v>485</v>
      </c>
      <c r="AD3" s="222">
        <v>485</v>
      </c>
      <c r="AE3" s="222">
        <v>485</v>
      </c>
      <c r="AF3" s="222">
        <v>27160</v>
      </c>
      <c r="AG3" s="222">
        <v>27160</v>
      </c>
      <c r="AH3" s="222">
        <v>27160</v>
      </c>
      <c r="AI3" s="124" t="s">
        <v>141</v>
      </c>
      <c r="AJ3" s="124" t="s">
        <v>138</v>
      </c>
      <c r="AK3" s="129" t="s">
        <v>138</v>
      </c>
      <c r="AL3" s="129" t="s">
        <v>138</v>
      </c>
      <c r="AM3" s="129" t="s">
        <v>138</v>
      </c>
      <c r="AN3" s="55" t="s">
        <v>138</v>
      </c>
      <c r="AO3" s="55" t="s">
        <v>138</v>
      </c>
      <c r="AP3" s="157" t="s">
        <v>138</v>
      </c>
      <c r="AQ3" s="124" t="s">
        <v>138</v>
      </c>
      <c r="AR3" s="124" t="s">
        <v>569</v>
      </c>
      <c r="AS3" s="363" t="s">
        <v>138</v>
      </c>
      <c r="AT3" s="365">
        <v>27160</v>
      </c>
      <c r="AU3" s="365">
        <v>27160</v>
      </c>
      <c r="AV3" s="365">
        <v>27160</v>
      </c>
    </row>
    <row r="4" spans="1:57">
      <c r="A4" s="135" t="s">
        <v>570</v>
      </c>
      <c r="B4" s="104" t="s">
        <v>571</v>
      </c>
      <c r="C4" s="333" t="s">
        <v>572</v>
      </c>
      <c r="D4" s="229" t="s">
        <v>573</v>
      </c>
      <c r="E4" s="104" t="s">
        <v>417</v>
      </c>
      <c r="F4" s="104" t="s">
        <v>170</v>
      </c>
      <c r="G4" s="293">
        <v>507</v>
      </c>
      <c r="H4" s="298" t="s">
        <v>574</v>
      </c>
      <c r="I4" s="293">
        <v>3.3</v>
      </c>
      <c r="J4" s="293">
        <v>77</v>
      </c>
      <c r="K4" s="293">
        <v>35</v>
      </c>
      <c r="L4" s="293">
        <v>432</v>
      </c>
      <c r="M4" s="294">
        <v>0.04</v>
      </c>
      <c r="N4" s="295">
        <v>0.441</v>
      </c>
      <c r="O4" s="294">
        <v>0.85</v>
      </c>
      <c r="P4" s="104"/>
      <c r="Q4" s="104" t="s">
        <v>575</v>
      </c>
      <c r="R4" s="124" t="s">
        <v>141</v>
      </c>
      <c r="S4" s="227" t="s">
        <v>576</v>
      </c>
      <c r="T4" s="104" t="s">
        <v>141</v>
      </c>
      <c r="U4" s="229" t="s">
        <v>577</v>
      </c>
      <c r="V4" s="227" t="s">
        <v>578</v>
      </c>
      <c r="W4" s="124" t="s">
        <v>141</v>
      </c>
      <c r="X4" s="210" t="s">
        <v>579</v>
      </c>
      <c r="Y4" s="230" t="s">
        <v>580</v>
      </c>
      <c r="Z4" s="104" t="s">
        <v>138</v>
      </c>
      <c r="AA4" s="42" t="s">
        <v>141</v>
      </c>
      <c r="AB4" s="190" t="s">
        <v>581</v>
      </c>
      <c r="AC4" s="222">
        <v>1037</v>
      </c>
      <c r="AD4" s="222">
        <v>1037</v>
      </c>
      <c r="AE4" s="222">
        <v>1037</v>
      </c>
      <c r="AF4" s="222" t="s">
        <v>582</v>
      </c>
      <c r="AG4" s="222" t="s">
        <v>583</v>
      </c>
      <c r="AH4" s="222" t="s">
        <v>584</v>
      </c>
      <c r="AI4" s="124" t="s">
        <v>141</v>
      </c>
      <c r="AJ4" s="124" t="s">
        <v>138</v>
      </c>
      <c r="AK4" s="129" t="s">
        <v>138</v>
      </c>
      <c r="AL4" s="129" t="s">
        <v>138</v>
      </c>
      <c r="AM4" s="129" t="s">
        <v>138</v>
      </c>
      <c r="AN4" s="30">
        <v>33</v>
      </c>
      <c r="AO4" s="157" t="s">
        <v>138</v>
      </c>
      <c r="AP4" s="157" t="s">
        <v>138</v>
      </c>
      <c r="AQ4" s="124" t="s">
        <v>138</v>
      </c>
      <c r="AR4" s="124" t="s">
        <v>138</v>
      </c>
      <c r="AS4" s="363" t="s">
        <v>138</v>
      </c>
      <c r="AT4" s="365" t="s">
        <v>585</v>
      </c>
      <c r="AU4" s="365" t="s">
        <v>586</v>
      </c>
      <c r="AV4" s="365" t="s">
        <v>587</v>
      </c>
    </row>
    <row r="5" spans="1:57" s="52" customFormat="1">
      <c r="A5" s="115" t="s">
        <v>588</v>
      </c>
      <c r="B5" s="127" t="s">
        <v>589</v>
      </c>
      <c r="C5" s="332" t="s">
        <v>590</v>
      </c>
      <c r="D5" s="210" t="s">
        <v>591</v>
      </c>
      <c r="E5" s="124" t="s">
        <v>592</v>
      </c>
      <c r="F5" s="124" t="s">
        <v>231</v>
      </c>
      <c r="G5" s="292" t="s">
        <v>138</v>
      </c>
      <c r="H5" s="292" t="s">
        <v>138</v>
      </c>
      <c r="I5" s="293">
        <v>3.5</v>
      </c>
      <c r="J5" s="293" t="s">
        <v>593</v>
      </c>
      <c r="K5" s="293">
        <v>33</v>
      </c>
      <c r="L5" s="293">
        <v>112</v>
      </c>
      <c r="M5" s="294">
        <v>0.02</v>
      </c>
      <c r="N5" s="295">
        <v>0.73899999999999999</v>
      </c>
      <c r="O5" s="294">
        <v>0.86</v>
      </c>
      <c r="P5" s="50">
        <v>24</v>
      </c>
      <c r="Q5" s="50">
        <v>48</v>
      </c>
      <c r="R5" s="124" t="s">
        <v>141</v>
      </c>
      <c r="S5" s="127" t="s">
        <v>594</v>
      </c>
      <c r="T5" s="104" t="s">
        <v>141</v>
      </c>
      <c r="U5" s="210" t="s">
        <v>595</v>
      </c>
      <c r="V5" s="127" t="s">
        <v>596</v>
      </c>
      <c r="W5" s="124" t="s">
        <v>141</v>
      </c>
      <c r="X5" s="210" t="s">
        <v>597</v>
      </c>
      <c r="Y5" s="230" t="s">
        <v>598</v>
      </c>
      <c r="Z5" s="104" t="s">
        <v>138</v>
      </c>
      <c r="AA5" s="42" t="s">
        <v>141</v>
      </c>
      <c r="AB5" s="206" t="s">
        <v>599</v>
      </c>
      <c r="AC5" s="222">
        <v>520</v>
      </c>
      <c r="AD5" s="222">
        <v>520</v>
      </c>
      <c r="AE5" s="222">
        <v>520</v>
      </c>
      <c r="AF5" s="222">
        <v>16640</v>
      </c>
      <c r="AG5" s="222">
        <v>16640</v>
      </c>
      <c r="AH5" s="222">
        <v>16640</v>
      </c>
      <c r="AI5" s="124" t="s">
        <v>141</v>
      </c>
      <c r="AJ5" s="124" t="s">
        <v>138</v>
      </c>
      <c r="AK5" s="129">
        <f>(($Q5*AC5)/SUM($AR5:$AS5))*12</f>
        <v>3.3279999999999998</v>
      </c>
      <c r="AL5" s="129">
        <f t="shared" ref="AL5:AM5" si="0">(($Q5*AD5)/SUM($AR5:$AS5))*12</f>
        <v>3.3279999999999998</v>
      </c>
      <c r="AM5" s="129">
        <f t="shared" si="0"/>
        <v>3.3279999999999998</v>
      </c>
      <c r="AN5" s="55" t="s">
        <v>138</v>
      </c>
      <c r="AO5" s="55" t="s">
        <v>138</v>
      </c>
      <c r="AP5" s="157" t="s">
        <v>138</v>
      </c>
      <c r="AQ5" s="51">
        <v>0.91</v>
      </c>
      <c r="AR5" s="120">
        <v>90000</v>
      </c>
      <c r="AS5" s="363" t="s">
        <v>138</v>
      </c>
      <c r="AT5" s="370">
        <v>37584</v>
      </c>
      <c r="AU5" s="370">
        <v>37584</v>
      </c>
      <c r="AV5" s="370">
        <v>37584</v>
      </c>
    </row>
    <row r="6" spans="1:57" s="52" customFormat="1">
      <c r="A6" s="115" t="s">
        <v>600</v>
      </c>
      <c r="B6" s="127" t="s">
        <v>157</v>
      </c>
      <c r="C6" s="332" t="s">
        <v>601</v>
      </c>
      <c r="D6" s="210" t="s">
        <v>602</v>
      </c>
      <c r="E6" s="124" t="s">
        <v>160</v>
      </c>
      <c r="F6" s="124" t="s">
        <v>161</v>
      </c>
      <c r="G6" s="292" t="s">
        <v>138</v>
      </c>
      <c r="H6" s="292" t="s">
        <v>138</v>
      </c>
      <c r="I6" s="293">
        <v>3.6</v>
      </c>
      <c r="J6" s="293">
        <v>135</v>
      </c>
      <c r="K6" s="293">
        <v>34</v>
      </c>
      <c r="L6" s="293">
        <v>60</v>
      </c>
      <c r="M6" s="294">
        <v>0.01</v>
      </c>
      <c r="N6" s="295">
        <v>0.434</v>
      </c>
      <c r="O6" s="294">
        <v>0.38</v>
      </c>
      <c r="P6" s="124">
        <v>16</v>
      </c>
      <c r="Q6" s="124">
        <v>37</v>
      </c>
      <c r="R6" s="124" t="s">
        <v>141</v>
      </c>
      <c r="S6" s="124" t="s">
        <v>138</v>
      </c>
      <c r="T6" s="124" t="s">
        <v>141</v>
      </c>
      <c r="U6" s="210" t="s">
        <v>603</v>
      </c>
      <c r="V6" s="127" t="s">
        <v>604</v>
      </c>
      <c r="W6" s="124" t="s">
        <v>141</v>
      </c>
      <c r="X6" s="210" t="s">
        <v>605</v>
      </c>
      <c r="Y6" s="230" t="s">
        <v>606</v>
      </c>
      <c r="Z6" s="104" t="s">
        <v>138</v>
      </c>
      <c r="AA6" s="42" t="s">
        <v>141</v>
      </c>
      <c r="AB6" s="206" t="s">
        <v>607</v>
      </c>
      <c r="AC6" s="222">
        <v>956</v>
      </c>
      <c r="AD6" s="222">
        <v>1482</v>
      </c>
      <c r="AE6" s="222">
        <v>1482</v>
      </c>
      <c r="AF6" s="222">
        <v>35372</v>
      </c>
      <c r="AG6" s="222">
        <v>54858</v>
      </c>
      <c r="AH6" s="222">
        <v>54858</v>
      </c>
      <c r="AI6" s="124" t="s">
        <v>141</v>
      </c>
      <c r="AJ6" s="120">
        <v>100</v>
      </c>
      <c r="AK6" s="129" t="s">
        <v>138</v>
      </c>
      <c r="AL6" s="129" t="s">
        <v>138</v>
      </c>
      <c r="AM6" s="129" t="s">
        <v>138</v>
      </c>
      <c r="AN6" s="50">
        <v>1</v>
      </c>
      <c r="AO6" s="50">
        <v>5</v>
      </c>
      <c r="AP6" s="157" t="s">
        <v>138</v>
      </c>
      <c r="AQ6" s="124" t="s">
        <v>138</v>
      </c>
      <c r="AR6" s="124" t="s">
        <v>138</v>
      </c>
      <c r="AS6" s="363" t="s">
        <v>138</v>
      </c>
      <c r="AT6" s="371">
        <v>22676.68</v>
      </c>
      <c r="AU6" s="371">
        <v>30060.799999999999</v>
      </c>
      <c r="AV6" s="371">
        <v>30060.799999999999</v>
      </c>
    </row>
    <row r="7" spans="1:57" s="52" customFormat="1">
      <c r="A7" s="115" t="s">
        <v>435</v>
      </c>
      <c r="B7" s="127" t="s">
        <v>436</v>
      </c>
      <c r="C7" s="332" t="s">
        <v>608</v>
      </c>
      <c r="D7" s="210" t="s">
        <v>609</v>
      </c>
      <c r="E7" s="124" t="s">
        <v>439</v>
      </c>
      <c r="F7" s="124" t="s">
        <v>214</v>
      </c>
      <c r="G7" s="292" t="s">
        <v>138</v>
      </c>
      <c r="H7" s="292" t="s">
        <v>138</v>
      </c>
      <c r="I7" s="293" t="s">
        <v>138</v>
      </c>
      <c r="J7" s="292" t="s">
        <v>138</v>
      </c>
      <c r="K7" s="292" t="s">
        <v>138</v>
      </c>
      <c r="L7" s="293" t="s">
        <v>610</v>
      </c>
      <c r="M7" s="292" t="s">
        <v>138</v>
      </c>
      <c r="N7" s="292" t="s">
        <v>138</v>
      </c>
      <c r="O7" s="292" t="s">
        <v>138</v>
      </c>
      <c r="P7" s="130" t="s">
        <v>273</v>
      </c>
      <c r="Q7" s="124">
        <v>36</v>
      </c>
      <c r="R7" s="124" t="s">
        <v>141</v>
      </c>
      <c r="S7" s="124" t="s">
        <v>138</v>
      </c>
      <c r="T7" s="124" t="s">
        <v>141</v>
      </c>
      <c r="U7" s="210" t="s">
        <v>611</v>
      </c>
      <c r="V7" s="127" t="s">
        <v>612</v>
      </c>
      <c r="W7" s="124" t="s">
        <v>141</v>
      </c>
      <c r="X7" s="210" t="s">
        <v>613</v>
      </c>
      <c r="Y7" s="230" t="s">
        <v>598</v>
      </c>
      <c r="Z7" s="104" t="s">
        <v>138</v>
      </c>
      <c r="AA7" s="124" t="s">
        <v>141</v>
      </c>
      <c r="AB7" s="206" t="s">
        <v>614</v>
      </c>
      <c r="AC7" s="226">
        <v>937.25</v>
      </c>
      <c r="AD7" s="226">
        <v>937.25</v>
      </c>
      <c r="AE7" s="226">
        <v>937.25</v>
      </c>
      <c r="AF7" s="226">
        <v>33741</v>
      </c>
      <c r="AG7" s="226">
        <v>33741</v>
      </c>
      <c r="AH7" s="226">
        <v>33741</v>
      </c>
      <c r="AI7" s="124" t="s">
        <v>141</v>
      </c>
      <c r="AJ7" s="124"/>
      <c r="AK7" s="129">
        <f>(($Q7*AC7)/SUM($AR7:$AS7))*12</f>
        <v>4.763435294117647</v>
      </c>
      <c r="AL7" s="129">
        <f t="shared" ref="AL7" si="1">(($Q7*AD7)/SUM($AR7:$AS7))*12</f>
        <v>4.763435294117647</v>
      </c>
      <c r="AM7" s="129">
        <f t="shared" ref="AM7" si="2">(($Q7*AE7)/SUM($AR7:$AS7))*12</f>
        <v>4.763435294117647</v>
      </c>
      <c r="AN7" s="50">
        <v>8</v>
      </c>
      <c r="AO7" s="50">
        <v>10</v>
      </c>
      <c r="AP7" s="157" t="s">
        <v>138</v>
      </c>
      <c r="AQ7" s="50" t="s">
        <v>615</v>
      </c>
      <c r="AR7" s="50">
        <v>85000</v>
      </c>
      <c r="AS7" s="363" t="s">
        <v>138</v>
      </c>
      <c r="AT7" s="371">
        <v>33934.5</v>
      </c>
      <c r="AU7" s="371">
        <v>64048.5</v>
      </c>
      <c r="AV7" s="371">
        <v>64123.5</v>
      </c>
    </row>
    <row r="8" spans="1:57" s="52" customFormat="1">
      <c r="A8" s="115" t="s">
        <v>616</v>
      </c>
      <c r="B8" s="127" t="s">
        <v>380</v>
      </c>
      <c r="C8" s="332" t="s">
        <v>617</v>
      </c>
      <c r="D8" s="210" t="s">
        <v>618</v>
      </c>
      <c r="E8" s="124" t="s">
        <v>619</v>
      </c>
      <c r="F8" s="124" t="s">
        <v>620</v>
      </c>
      <c r="G8" s="296">
        <v>583</v>
      </c>
      <c r="H8" s="299" t="s">
        <v>138</v>
      </c>
      <c r="I8" s="297">
        <v>3.4</v>
      </c>
      <c r="J8" s="297">
        <v>84</v>
      </c>
      <c r="K8" s="297">
        <v>30</v>
      </c>
      <c r="L8" s="297">
        <v>140</v>
      </c>
      <c r="M8" s="300">
        <v>0.01</v>
      </c>
      <c r="N8" s="301">
        <v>0.58599999999999997</v>
      </c>
      <c r="O8" s="300">
        <v>0.98</v>
      </c>
      <c r="P8" s="124">
        <v>20</v>
      </c>
      <c r="Q8" s="124">
        <v>33</v>
      </c>
      <c r="R8" s="124" t="s">
        <v>141</v>
      </c>
      <c r="S8" s="124" t="s">
        <v>138</v>
      </c>
      <c r="T8" s="124" t="s">
        <v>141</v>
      </c>
      <c r="U8" s="210" t="s">
        <v>621</v>
      </c>
      <c r="V8" s="127" t="s">
        <v>622</v>
      </c>
      <c r="W8" s="124" t="s">
        <v>141</v>
      </c>
      <c r="X8" s="210" t="s">
        <v>623</v>
      </c>
      <c r="Y8" s="230" t="s">
        <v>624</v>
      </c>
      <c r="Z8" s="104" t="s">
        <v>138</v>
      </c>
      <c r="AA8" s="42" t="s">
        <v>141</v>
      </c>
      <c r="AB8" s="206" t="s">
        <v>625</v>
      </c>
      <c r="AC8" s="226">
        <v>1075</v>
      </c>
      <c r="AD8" s="226">
        <v>1075</v>
      </c>
      <c r="AE8" s="226">
        <v>1075</v>
      </c>
      <c r="AF8" s="226">
        <v>32250</v>
      </c>
      <c r="AG8" s="226">
        <v>32250</v>
      </c>
      <c r="AH8" s="226">
        <v>32250</v>
      </c>
      <c r="AI8" s="124" t="s">
        <v>141</v>
      </c>
      <c r="AJ8" s="124" t="s">
        <v>138</v>
      </c>
      <c r="AK8" s="129" t="s">
        <v>138</v>
      </c>
      <c r="AL8" s="129" t="s">
        <v>138</v>
      </c>
      <c r="AM8" s="129" t="s">
        <v>138</v>
      </c>
      <c r="AN8" s="50">
        <v>12</v>
      </c>
      <c r="AO8" s="50">
        <v>16</v>
      </c>
      <c r="AP8" s="157" t="s">
        <v>138</v>
      </c>
      <c r="AQ8" s="136">
        <v>0.67</v>
      </c>
      <c r="AR8" s="137" t="s">
        <v>138</v>
      </c>
      <c r="AS8" s="368" t="s">
        <v>138</v>
      </c>
      <c r="AT8" s="370">
        <v>52500</v>
      </c>
      <c r="AU8" s="370">
        <v>52500</v>
      </c>
      <c r="AV8" s="370">
        <v>52500</v>
      </c>
    </row>
    <row r="9" spans="1:57" s="52" customFormat="1">
      <c r="A9" s="115" t="s">
        <v>244</v>
      </c>
      <c r="B9" s="127" t="s">
        <v>626</v>
      </c>
      <c r="C9" s="332" t="s">
        <v>627</v>
      </c>
      <c r="D9" s="210" t="s">
        <v>628</v>
      </c>
      <c r="E9" s="124" t="s">
        <v>248</v>
      </c>
      <c r="F9" s="124" t="s">
        <v>249</v>
      </c>
      <c r="G9" s="293">
        <v>595</v>
      </c>
      <c r="H9" s="298" t="s">
        <v>629</v>
      </c>
      <c r="I9" s="293">
        <v>3.5</v>
      </c>
      <c r="J9" s="292">
        <v>71</v>
      </c>
      <c r="K9" s="293">
        <v>29</v>
      </c>
      <c r="L9" s="292" t="s">
        <v>138</v>
      </c>
      <c r="M9" s="292" t="s">
        <v>138</v>
      </c>
      <c r="N9" s="292" t="s">
        <v>138</v>
      </c>
      <c r="O9" s="292" t="s">
        <v>138</v>
      </c>
      <c r="P9" s="124">
        <v>18</v>
      </c>
      <c r="Q9" s="124">
        <v>33</v>
      </c>
      <c r="R9" s="124" t="s">
        <v>141</v>
      </c>
      <c r="S9" s="124" t="s">
        <v>138</v>
      </c>
      <c r="T9" s="124" t="s">
        <v>141</v>
      </c>
      <c r="U9" s="210" t="s">
        <v>628</v>
      </c>
      <c r="V9" s="127" t="s">
        <v>630</v>
      </c>
      <c r="W9" s="124" t="s">
        <v>141</v>
      </c>
      <c r="X9" s="210" t="s">
        <v>432</v>
      </c>
      <c r="Y9" s="230" t="s">
        <v>631</v>
      </c>
      <c r="Z9" s="104" t="s">
        <v>138</v>
      </c>
      <c r="AA9" s="57" t="s">
        <v>141</v>
      </c>
      <c r="AB9" s="206" t="s">
        <v>434</v>
      </c>
      <c r="AC9" s="226">
        <v>1230</v>
      </c>
      <c r="AD9" s="226">
        <v>1230</v>
      </c>
      <c r="AE9" s="226">
        <v>1230</v>
      </c>
      <c r="AF9" s="226">
        <v>44280</v>
      </c>
      <c r="AG9" s="226">
        <v>44280</v>
      </c>
      <c r="AH9" s="226">
        <v>44280</v>
      </c>
      <c r="AI9" s="124" t="s">
        <v>141</v>
      </c>
      <c r="AJ9" s="124" t="s">
        <v>138</v>
      </c>
      <c r="AK9" s="129">
        <f>(($Q9*AC9)/SUM($AR9:$AS9))*12</f>
        <v>5.5350000000000001</v>
      </c>
      <c r="AL9" s="129">
        <f t="shared" ref="AL9" si="3">(($Q9*AD9)/SUM($AR9:$AS9))*12</f>
        <v>5.5350000000000001</v>
      </c>
      <c r="AM9" s="129">
        <f t="shared" ref="AM9" si="4">(($Q9*AE9)/SUM($AR9:$AS9))*12</f>
        <v>5.5350000000000001</v>
      </c>
      <c r="AN9" s="50">
        <v>8</v>
      </c>
      <c r="AO9" s="55" t="s">
        <v>138</v>
      </c>
      <c r="AP9" s="157" t="s">
        <v>138</v>
      </c>
      <c r="AQ9" s="136">
        <v>0.96</v>
      </c>
      <c r="AR9" s="124">
        <v>88000</v>
      </c>
      <c r="AS9" s="363" t="s">
        <v>138</v>
      </c>
      <c r="AT9" s="370">
        <v>42636</v>
      </c>
      <c r="AU9" s="370">
        <v>42636</v>
      </c>
      <c r="AV9" s="370">
        <v>42636</v>
      </c>
    </row>
    <row r="10" spans="1:57" s="52" customFormat="1">
      <c r="A10" s="116" t="s">
        <v>526</v>
      </c>
      <c r="B10" s="127" t="s">
        <v>632</v>
      </c>
      <c r="C10" s="332" t="s">
        <v>633</v>
      </c>
      <c r="D10" s="210" t="s">
        <v>634</v>
      </c>
      <c r="E10" s="124" t="s">
        <v>530</v>
      </c>
      <c r="F10" s="124" t="s">
        <v>531</v>
      </c>
      <c r="G10" s="292" t="s">
        <v>138</v>
      </c>
      <c r="H10" s="292" t="s">
        <v>138</v>
      </c>
      <c r="I10" s="293">
        <v>3.2</v>
      </c>
      <c r="J10" s="293">
        <v>70</v>
      </c>
      <c r="K10" s="293">
        <v>30</v>
      </c>
      <c r="L10" s="293">
        <v>83</v>
      </c>
      <c r="M10" s="294">
        <v>0.04</v>
      </c>
      <c r="N10" s="295">
        <v>0.36099999999999999</v>
      </c>
      <c r="O10" s="294">
        <v>0.91</v>
      </c>
      <c r="P10" s="124" t="s">
        <v>635</v>
      </c>
      <c r="Q10" s="124">
        <v>24</v>
      </c>
      <c r="R10" s="124" t="s">
        <v>141</v>
      </c>
      <c r="S10" s="228" t="s">
        <v>636</v>
      </c>
      <c r="T10" s="124" t="s">
        <v>141</v>
      </c>
      <c r="U10" s="210" t="s">
        <v>637</v>
      </c>
      <c r="V10" s="127" t="s">
        <v>638</v>
      </c>
      <c r="W10" s="124" t="s">
        <v>141</v>
      </c>
      <c r="X10" s="210" t="s">
        <v>536</v>
      </c>
      <c r="Y10" s="230" t="s">
        <v>639</v>
      </c>
      <c r="Z10" s="104" t="s">
        <v>138</v>
      </c>
      <c r="AA10" s="42" t="s">
        <v>141</v>
      </c>
      <c r="AB10" s="221" t="s">
        <v>640</v>
      </c>
      <c r="AC10" s="222">
        <v>2421</v>
      </c>
      <c r="AD10" s="222">
        <v>2421</v>
      </c>
      <c r="AE10" s="222">
        <v>2421</v>
      </c>
      <c r="AF10" s="222">
        <v>75539</v>
      </c>
      <c r="AG10" s="222">
        <v>75539</v>
      </c>
      <c r="AH10" s="222">
        <v>75539</v>
      </c>
      <c r="AI10" s="124" t="s">
        <v>141</v>
      </c>
      <c r="AJ10" s="124" t="s">
        <v>138</v>
      </c>
      <c r="AK10" s="129" t="s">
        <v>138</v>
      </c>
      <c r="AL10" s="129" t="s">
        <v>138</v>
      </c>
      <c r="AM10" s="129" t="s">
        <v>138</v>
      </c>
      <c r="AN10" s="50">
        <v>4</v>
      </c>
      <c r="AO10" s="55" t="s">
        <v>138</v>
      </c>
      <c r="AP10" s="157" t="s">
        <v>138</v>
      </c>
      <c r="AQ10" s="124" t="s">
        <v>138</v>
      </c>
      <c r="AR10" s="124" t="s">
        <v>138</v>
      </c>
      <c r="AS10" s="363" t="s">
        <v>138</v>
      </c>
      <c r="AT10" s="370">
        <v>61194</v>
      </c>
      <c r="AU10" s="370">
        <v>61194</v>
      </c>
      <c r="AV10" s="370">
        <v>61194</v>
      </c>
    </row>
    <row r="11" spans="1:57" s="52" customFormat="1">
      <c r="A11" s="116" t="s">
        <v>641</v>
      </c>
      <c r="B11" s="127" t="s">
        <v>642</v>
      </c>
      <c r="C11" s="332" t="s">
        <v>643</v>
      </c>
      <c r="D11" s="210" t="s">
        <v>644</v>
      </c>
      <c r="E11" s="124" t="s">
        <v>202</v>
      </c>
      <c r="F11" s="124" t="s">
        <v>203</v>
      </c>
      <c r="G11" s="293">
        <v>660</v>
      </c>
      <c r="H11" s="292" t="s">
        <v>138</v>
      </c>
      <c r="I11" s="293">
        <v>3.2</v>
      </c>
      <c r="J11" s="293">
        <v>74</v>
      </c>
      <c r="K11" s="293">
        <v>34</v>
      </c>
      <c r="L11" s="293">
        <v>79</v>
      </c>
      <c r="M11" s="295">
        <v>0.03</v>
      </c>
      <c r="N11" s="294">
        <v>0.56999999999999995</v>
      </c>
      <c r="O11" s="294">
        <v>0.91</v>
      </c>
      <c r="P11" s="124" t="s">
        <v>304</v>
      </c>
      <c r="Q11" s="124">
        <v>30</v>
      </c>
      <c r="R11" s="124" t="s">
        <v>141</v>
      </c>
      <c r="S11" s="124" t="s">
        <v>140</v>
      </c>
      <c r="T11" s="124" t="s">
        <v>141</v>
      </c>
      <c r="U11" s="210" t="s">
        <v>645</v>
      </c>
      <c r="V11" s="127" t="s">
        <v>646</v>
      </c>
      <c r="W11" s="124" t="s">
        <v>141</v>
      </c>
      <c r="X11" s="210" t="s">
        <v>647</v>
      </c>
      <c r="Y11" s="230" t="s">
        <v>648</v>
      </c>
      <c r="Z11" s="104" t="s">
        <v>138</v>
      </c>
      <c r="AA11" s="42" t="s">
        <v>141</v>
      </c>
      <c r="AB11" s="206" t="s">
        <v>649</v>
      </c>
      <c r="AC11" s="224">
        <v>2055</v>
      </c>
      <c r="AD11" s="222">
        <v>2055</v>
      </c>
      <c r="AE11" s="222">
        <v>2055</v>
      </c>
      <c r="AF11" s="222">
        <v>67815</v>
      </c>
      <c r="AG11" s="222">
        <v>67815</v>
      </c>
      <c r="AH11" s="222">
        <v>67815</v>
      </c>
      <c r="AI11" s="210" t="s">
        <v>650</v>
      </c>
      <c r="AJ11" s="126">
        <v>2000</v>
      </c>
      <c r="AK11" s="129" t="s">
        <v>138</v>
      </c>
      <c r="AL11" s="129" t="s">
        <v>138</v>
      </c>
      <c r="AM11" s="129" t="s">
        <v>138</v>
      </c>
      <c r="AN11" s="50">
        <v>39</v>
      </c>
      <c r="AO11" s="55" t="s">
        <v>138</v>
      </c>
      <c r="AP11" s="157" t="s">
        <v>138</v>
      </c>
      <c r="AQ11" s="124" t="s">
        <v>138</v>
      </c>
      <c r="AR11" s="124" t="s">
        <v>138</v>
      </c>
      <c r="AS11" s="363" t="s">
        <v>138</v>
      </c>
      <c r="AT11" s="370">
        <v>62280</v>
      </c>
      <c r="AU11" s="370">
        <v>62280</v>
      </c>
      <c r="AV11" s="370">
        <v>62280</v>
      </c>
    </row>
    <row r="12" spans="1:57" s="52" customFormat="1">
      <c r="A12" s="116" t="s">
        <v>651</v>
      </c>
      <c r="B12" s="127" t="s">
        <v>561</v>
      </c>
      <c r="C12" s="332" t="s">
        <v>652</v>
      </c>
      <c r="D12" s="210" t="s">
        <v>653</v>
      </c>
      <c r="E12" s="124" t="s">
        <v>654</v>
      </c>
      <c r="F12" s="124" t="s">
        <v>655</v>
      </c>
      <c r="G12" s="293">
        <v>448</v>
      </c>
      <c r="H12" s="298" t="s">
        <v>656</v>
      </c>
      <c r="I12" s="293">
        <v>3.4</v>
      </c>
      <c r="J12" s="293">
        <v>56</v>
      </c>
      <c r="K12" s="293">
        <v>30</v>
      </c>
      <c r="L12" s="293">
        <v>623</v>
      </c>
      <c r="M12" s="294">
        <v>0.03</v>
      </c>
      <c r="N12" s="295">
        <v>0.60499999999999998</v>
      </c>
      <c r="O12" s="294">
        <v>0.53</v>
      </c>
      <c r="P12" s="124">
        <v>12</v>
      </c>
      <c r="Q12" s="124">
        <v>38</v>
      </c>
      <c r="R12" s="124" t="s">
        <v>141</v>
      </c>
      <c r="S12" s="124" t="s">
        <v>140</v>
      </c>
      <c r="T12" s="124" t="s">
        <v>141</v>
      </c>
      <c r="U12" s="210" t="s">
        <v>657</v>
      </c>
      <c r="V12" s="127" t="s">
        <v>658</v>
      </c>
      <c r="W12" s="124" t="s">
        <v>141</v>
      </c>
      <c r="X12" s="210" t="s">
        <v>659</v>
      </c>
      <c r="Y12" s="230" t="s">
        <v>660</v>
      </c>
      <c r="Z12" s="104" t="s">
        <v>138</v>
      </c>
      <c r="AA12" s="42" t="s">
        <v>141</v>
      </c>
      <c r="AB12" s="206" t="s">
        <v>661</v>
      </c>
      <c r="AC12" s="224">
        <v>993</v>
      </c>
      <c r="AD12" s="222">
        <v>1000</v>
      </c>
      <c r="AE12" s="222">
        <v>1000</v>
      </c>
      <c r="AF12" s="222">
        <v>29400</v>
      </c>
      <c r="AG12" s="222">
        <v>29400</v>
      </c>
      <c r="AH12" s="222">
        <v>29400</v>
      </c>
      <c r="AI12" s="124" t="s">
        <v>141</v>
      </c>
      <c r="AJ12" s="124" t="s">
        <v>138</v>
      </c>
      <c r="AK12" s="129">
        <f>(($Q12*AC12)/SUM($AR12:$AS12))*12</f>
        <v>3.8539803048744163</v>
      </c>
      <c r="AL12" s="129">
        <f t="shared" ref="AL12" si="5">(($Q12*AD12)/SUM($AR12:$AS12))*12</f>
        <v>3.8811483432773572</v>
      </c>
      <c r="AM12" s="129">
        <f t="shared" ref="AM12" si="6">(($Q12*AE12)/SUM($AR12:$AS12))*12</f>
        <v>3.8811483432773572</v>
      </c>
      <c r="AN12" s="50">
        <v>12</v>
      </c>
      <c r="AO12" s="50">
        <v>30</v>
      </c>
      <c r="AP12" s="157" t="s">
        <v>138</v>
      </c>
      <c r="AQ12" s="124" t="s">
        <v>138</v>
      </c>
      <c r="AR12" s="50">
        <v>117491</v>
      </c>
      <c r="AS12" s="363" t="s">
        <v>138</v>
      </c>
      <c r="AT12" s="370">
        <v>35015</v>
      </c>
      <c r="AU12" s="370">
        <v>35015</v>
      </c>
      <c r="AV12" s="370">
        <v>35015</v>
      </c>
    </row>
    <row r="13" spans="1:57" s="52" customFormat="1">
      <c r="A13" s="116" t="s">
        <v>662</v>
      </c>
      <c r="B13" s="127" t="s">
        <v>663</v>
      </c>
      <c r="C13" s="332" t="s">
        <v>664</v>
      </c>
      <c r="D13" s="210" t="s">
        <v>665</v>
      </c>
      <c r="E13" s="124" t="s">
        <v>666</v>
      </c>
      <c r="F13" s="124" t="s">
        <v>531</v>
      </c>
      <c r="G13" s="302" t="s">
        <v>138</v>
      </c>
      <c r="H13" s="303" t="s">
        <v>138</v>
      </c>
      <c r="I13" s="297" t="s">
        <v>138</v>
      </c>
      <c r="J13" s="297">
        <v>24</v>
      </c>
      <c r="K13" s="297" t="s">
        <v>138</v>
      </c>
      <c r="L13" s="293">
        <v>360</v>
      </c>
      <c r="M13" s="294">
        <v>0.01</v>
      </c>
      <c r="N13" s="295">
        <v>0.54700000000000004</v>
      </c>
      <c r="O13" s="294">
        <v>0.78</v>
      </c>
      <c r="P13" s="124">
        <v>16</v>
      </c>
      <c r="Q13" s="124">
        <v>30</v>
      </c>
      <c r="R13" s="124" t="s">
        <v>141</v>
      </c>
      <c r="S13" s="127" t="s">
        <v>667</v>
      </c>
      <c r="T13" s="124" t="s">
        <v>668</v>
      </c>
      <c r="U13" s="210" t="s">
        <v>669</v>
      </c>
      <c r="V13" s="127" t="s">
        <v>670</v>
      </c>
      <c r="W13" s="124" t="s">
        <v>141</v>
      </c>
      <c r="X13" s="210" t="s">
        <v>671</v>
      </c>
      <c r="Y13" s="230" t="s">
        <v>672</v>
      </c>
      <c r="Z13" s="104" t="s">
        <v>138</v>
      </c>
      <c r="AA13" s="42" t="s">
        <v>141</v>
      </c>
      <c r="AB13" s="206" t="s">
        <v>673</v>
      </c>
      <c r="AC13" s="224">
        <v>2115</v>
      </c>
      <c r="AD13" s="222">
        <v>2115</v>
      </c>
      <c r="AE13" s="222">
        <v>2115</v>
      </c>
      <c r="AF13" s="222">
        <v>109980</v>
      </c>
      <c r="AG13" s="222">
        <v>109980</v>
      </c>
      <c r="AH13" s="222">
        <v>109980</v>
      </c>
      <c r="AI13" s="210" t="s">
        <v>674</v>
      </c>
      <c r="AJ13" s="124" t="s">
        <v>138</v>
      </c>
      <c r="AK13" s="129" t="s">
        <v>138</v>
      </c>
      <c r="AL13" s="129" t="s">
        <v>138</v>
      </c>
      <c r="AM13" s="129" t="s">
        <v>138</v>
      </c>
      <c r="AN13" s="55" t="s">
        <v>138</v>
      </c>
      <c r="AO13" s="55" t="s">
        <v>138</v>
      </c>
      <c r="AP13" s="157" t="s">
        <v>138</v>
      </c>
      <c r="AQ13" s="124" t="s">
        <v>138</v>
      </c>
      <c r="AR13" s="124" t="s">
        <v>138</v>
      </c>
      <c r="AS13" s="363" t="s">
        <v>138</v>
      </c>
      <c r="AT13" s="370">
        <v>56100</v>
      </c>
      <c r="AU13" s="370">
        <v>56100</v>
      </c>
      <c r="AV13" s="370">
        <v>56100</v>
      </c>
    </row>
    <row r="14" spans="1:57" s="52" customFormat="1">
      <c r="A14" s="116" t="s">
        <v>675</v>
      </c>
      <c r="B14" s="127" t="s">
        <v>676</v>
      </c>
      <c r="C14" s="332" t="s">
        <v>551</v>
      </c>
      <c r="D14" s="210" t="s">
        <v>677</v>
      </c>
      <c r="E14" s="124" t="s">
        <v>678</v>
      </c>
      <c r="F14" s="124" t="s">
        <v>679</v>
      </c>
      <c r="G14" s="292" t="s">
        <v>138</v>
      </c>
      <c r="H14" s="292" t="s">
        <v>138</v>
      </c>
      <c r="I14" s="293">
        <v>3.3</v>
      </c>
      <c r="J14" s="293">
        <v>48</v>
      </c>
      <c r="K14" s="293">
        <v>31</v>
      </c>
      <c r="L14" s="293">
        <v>264</v>
      </c>
      <c r="M14" s="294">
        <v>0.01</v>
      </c>
      <c r="N14" s="295">
        <v>0.81799999999999995</v>
      </c>
      <c r="O14" s="294">
        <v>0.88</v>
      </c>
      <c r="P14" s="124" t="s">
        <v>680</v>
      </c>
      <c r="Q14" s="124">
        <v>30</v>
      </c>
      <c r="R14" s="124" t="s">
        <v>141</v>
      </c>
      <c r="S14" s="127" t="s">
        <v>681</v>
      </c>
      <c r="T14" s="124" t="s">
        <v>141</v>
      </c>
      <c r="U14" s="210" t="s">
        <v>682</v>
      </c>
      <c r="V14" s="127" t="s">
        <v>683</v>
      </c>
      <c r="W14" s="124" t="s">
        <v>141</v>
      </c>
      <c r="X14" s="210" t="s">
        <v>684</v>
      </c>
      <c r="Y14" s="230" t="s">
        <v>685</v>
      </c>
      <c r="Z14" s="104" t="s">
        <v>138</v>
      </c>
      <c r="AA14" s="42" t="s">
        <v>141</v>
      </c>
      <c r="AB14" s="206" t="s">
        <v>686</v>
      </c>
      <c r="AC14" s="224">
        <v>471</v>
      </c>
      <c r="AD14" s="222">
        <v>565</v>
      </c>
      <c r="AE14" s="222">
        <v>565</v>
      </c>
      <c r="AF14" s="222">
        <v>14130</v>
      </c>
      <c r="AG14" s="222">
        <v>16950</v>
      </c>
      <c r="AH14" s="222">
        <v>16950</v>
      </c>
      <c r="AI14" s="124" t="s">
        <v>141</v>
      </c>
      <c r="AJ14" s="124" t="s">
        <v>138</v>
      </c>
      <c r="AK14" s="129" t="s">
        <v>138</v>
      </c>
      <c r="AL14" s="129" t="s">
        <v>138</v>
      </c>
      <c r="AM14" s="129" t="s">
        <v>138</v>
      </c>
      <c r="AN14" s="55" t="s">
        <v>138</v>
      </c>
      <c r="AO14" s="55" t="s">
        <v>138</v>
      </c>
      <c r="AP14" s="157" t="s">
        <v>138</v>
      </c>
      <c r="AQ14" s="124" t="s">
        <v>138</v>
      </c>
      <c r="AR14" s="124" t="s">
        <v>138</v>
      </c>
      <c r="AS14" s="363" t="s">
        <v>138</v>
      </c>
      <c r="AT14" s="372" t="s">
        <v>687</v>
      </c>
      <c r="AU14" s="372" t="s">
        <v>688</v>
      </c>
      <c r="AV14" s="372" t="s">
        <v>689</v>
      </c>
    </row>
    <row r="15" spans="1:57" s="52" customFormat="1">
      <c r="A15" s="116" t="s">
        <v>690</v>
      </c>
      <c r="B15" s="127" t="s">
        <v>691</v>
      </c>
      <c r="C15" s="332" t="s">
        <v>652</v>
      </c>
      <c r="D15" s="210" t="s">
        <v>692</v>
      </c>
      <c r="E15" s="124" t="s">
        <v>169</v>
      </c>
      <c r="F15" s="124" t="s">
        <v>170</v>
      </c>
      <c r="G15" s="292" t="s">
        <v>138</v>
      </c>
      <c r="H15" s="292" t="s">
        <v>138</v>
      </c>
      <c r="I15" s="293">
        <v>3.4</v>
      </c>
      <c r="J15" s="293">
        <v>69</v>
      </c>
      <c r="K15" s="293">
        <v>30</v>
      </c>
      <c r="L15" s="293">
        <v>299</v>
      </c>
      <c r="M15" s="294">
        <v>0.13</v>
      </c>
      <c r="N15" s="294">
        <v>0.56200000000000006</v>
      </c>
      <c r="O15" s="294">
        <v>0.89</v>
      </c>
      <c r="P15" s="124">
        <v>13</v>
      </c>
      <c r="Q15" s="124">
        <v>30</v>
      </c>
      <c r="R15" s="124" t="s">
        <v>139</v>
      </c>
      <c r="S15" s="124" t="s">
        <v>138</v>
      </c>
      <c r="T15" s="124" t="s">
        <v>141</v>
      </c>
      <c r="U15" s="210" t="s">
        <v>693</v>
      </c>
      <c r="V15" s="127" t="s">
        <v>694</v>
      </c>
      <c r="W15" s="124" t="s">
        <v>141</v>
      </c>
      <c r="X15" s="210" t="s">
        <v>695</v>
      </c>
      <c r="Y15" s="230" t="s">
        <v>696</v>
      </c>
      <c r="Z15" s="104" t="s">
        <v>138</v>
      </c>
      <c r="AA15" s="42" t="s">
        <v>141</v>
      </c>
      <c r="AB15" s="206" t="s">
        <v>697</v>
      </c>
      <c r="AC15" s="224">
        <v>1165</v>
      </c>
      <c r="AD15" s="222">
        <v>1165</v>
      </c>
      <c r="AE15" s="222">
        <v>1165</v>
      </c>
      <c r="AF15" s="222">
        <v>34950</v>
      </c>
      <c r="AG15" s="222">
        <v>34950</v>
      </c>
      <c r="AH15" s="222">
        <v>34950</v>
      </c>
      <c r="AI15" s="124" t="s">
        <v>141</v>
      </c>
      <c r="AJ15" s="124" t="s">
        <v>138</v>
      </c>
      <c r="AK15" s="129" t="s">
        <v>138</v>
      </c>
      <c r="AL15" s="129" t="s">
        <v>138</v>
      </c>
      <c r="AM15" s="129" t="s">
        <v>138</v>
      </c>
      <c r="AN15" s="50">
        <v>56</v>
      </c>
      <c r="AO15" s="50">
        <v>13</v>
      </c>
      <c r="AP15" s="157" t="s">
        <v>138</v>
      </c>
      <c r="AQ15" s="124" t="s">
        <v>138</v>
      </c>
      <c r="AR15" s="124" t="s">
        <v>138</v>
      </c>
      <c r="AS15" s="363" t="s">
        <v>138</v>
      </c>
      <c r="AT15" s="369">
        <v>34950</v>
      </c>
      <c r="AU15" s="369">
        <v>34950</v>
      </c>
      <c r="AV15" s="369">
        <v>34950</v>
      </c>
    </row>
    <row r="16" spans="1:57">
      <c r="X16" s="32"/>
    </row>
    <row r="17" spans="1:1" ht="32.1">
      <c r="A17" s="291" t="s">
        <v>550</v>
      </c>
    </row>
    <row r="18" spans="1:1">
      <c r="A18" s="304"/>
    </row>
  </sheetData>
  <hyperlinks>
    <hyperlink ref="D10" r:id="rId1" xr:uid="{D8492729-AAC6-804B-8CCC-F2CFE7F5B97C}"/>
    <hyperlink ref="D9" r:id="rId2" xr:uid="{CC0AC251-EC69-0C49-956D-9EDEEB58ED90}"/>
    <hyperlink ref="D11" r:id="rId3" xr:uid="{79FC21FB-1A27-D444-BEB2-99E4FD9DF9F2}"/>
    <hyperlink ref="D12" r:id="rId4" xr:uid="{D0C990B6-8322-1047-8C84-2F178D389A77}"/>
    <hyperlink ref="D13" r:id="rId5" xr:uid="{84AD3616-9359-A740-BCCE-DF8D9A384108}"/>
    <hyperlink ref="D8" r:id="rId6" xr:uid="{19AD77D0-484F-9946-A762-7C4EC93CDDBD}"/>
    <hyperlink ref="D14" r:id="rId7" xr:uid="{96F45353-65BA-BC43-9074-F5F9E8D44F6D}"/>
    <hyperlink ref="D15" r:id="rId8" xr:uid="{B59CE5B0-1AF6-2542-9319-330844C998C8}"/>
    <hyperlink ref="D2" r:id="rId9" xr:uid="{32B031B7-2318-8F44-B95D-0FC0729896B2}"/>
    <hyperlink ref="AN8" r:id="rId10" location=":~:text=Nursing%20Education%20Programs-,%2312,in%C2%A0%20Best%20Online%20Master%27s%20in%20Business%20Programs%20(Excluding%20MBA)%C2%A0(tie),-%238" display="https://www.usnews.com/education/online-education/university-of-connecticut-129020/rankings - :~:text=Nursing%20Education%20Programs-,%2312,in%C2%A0%20Best%20Online%20Master%27s%20in%20Business%20Programs%20(Excluding%20MBA)%C2%A0(tie),-%238" xr:uid="{26984F71-A2BE-4D8A-83ED-9F58F45F9AF9}"/>
    <hyperlink ref="U13" r:id="rId11" location=":~:text=2,decision%2Dmaking%20skills" xr:uid="{91DB22E3-DC9C-41D9-B47F-173B00580B8F}"/>
    <hyperlink ref="U11" r:id="rId12" xr:uid="{905F9337-4436-4561-BFA9-113A5B1EBAD5}"/>
    <hyperlink ref="U10" r:id="rId13" location=":~:text=About%20the%20Online%20Graduate%20Business%20Degree%20Program" xr:uid="{C0C2EE6F-2278-4065-B7C2-6F8188F7E69D}"/>
    <hyperlink ref="X10" r:id="rId14" xr:uid="{8E69D8E5-5E40-46A5-B73F-F341BCBB1D83}"/>
    <hyperlink ref="AN10" r:id="rId15" display="https://www.usnews.com/education/online-education/business/rankings" xr:uid="{D5AD92F8-0751-40E4-B42D-764FC111A08C}"/>
    <hyperlink ref="I10" r:id="rId16" display="3.2" xr:uid="{83904128-B2F0-4040-888D-36D8F979855C}"/>
    <hyperlink ref="J10" r:id="rId17" display="70" xr:uid="{FC74E81E-7FF2-4EA5-AF82-2CA1D91155D7}"/>
    <hyperlink ref="G10:H10" r:id="rId18" display="NA" xr:uid="{707A652B-CE28-4647-BACD-CAF437F844DE}"/>
    <hyperlink ref="L10" r:id="rId19" display="83" xr:uid="{B4540C13-9C50-4A6C-8C9C-C1BAEFBFBA8E}"/>
    <hyperlink ref="X11" r:id="rId20" xr:uid="{7786D18C-3654-490B-BD0C-CCB809E3ECFA}"/>
    <hyperlink ref="AI11" r:id="rId21" location=":~:text=A%20Scholarship%20Built%20Into%20Your%20Degree" xr:uid="{4602258B-AB6F-4DC7-B30C-CDAC33639A86}"/>
    <hyperlink ref="AC11" r:id="rId22" display="$2,055 " xr:uid="{F1FA13BE-F9FB-436F-ADB2-6E08F626A50B}"/>
    <hyperlink ref="AF11" r:id="rId23" display="67815" xr:uid="{75385CA1-E5BB-4858-B0B8-5316481AE0C7}"/>
    <hyperlink ref="AN11" r:id="rId24" display="39" xr:uid="{783046DC-0D30-4C5C-80CE-F1AD89AD0066}"/>
    <hyperlink ref="L11" r:id="rId25" display="79" xr:uid="{578EF8DA-B6F2-4831-B260-D74AAFFA5095}"/>
    <hyperlink ref="I11" r:id="rId26" display="3.2" xr:uid="{A6A4FF1E-C56D-4FF2-95E2-830EF6C01F55}"/>
    <hyperlink ref="G11" r:id="rId27" display="660" xr:uid="{6DF2F76F-825E-46B2-97E1-4B2141907136}"/>
    <hyperlink ref="J11" r:id="rId28" display="74" xr:uid="{BB799B0A-89E3-4A33-A4CA-6A60EEE7E6AF}"/>
    <hyperlink ref="H11" r:id="rId29" xr:uid="{49542615-927A-4323-B7B1-F08F0028F6ED}"/>
    <hyperlink ref="K11" r:id="rId30" display="34" xr:uid="{90143C2B-27E7-4686-9669-22F7FB4F190D}"/>
    <hyperlink ref="N11" r:id="rId31" display="57%" xr:uid="{75D9EC69-C24F-4590-84C9-441E826BD40C}"/>
    <hyperlink ref="M11" r:id="rId32" display="2.50%" xr:uid="{59F414D5-2C57-4003-9DB8-C1D7BB3BCB3C}"/>
    <hyperlink ref="K10" r:id="rId33" display="30" xr:uid="{DC915170-9740-4F7B-A4A8-A0BECCAF17D6}"/>
    <hyperlink ref="M10" r:id="rId34" display="4%" xr:uid="{96FBE9B6-C55B-492C-85A6-A811290E689F}"/>
    <hyperlink ref="O11" r:id="rId35" display="91%" xr:uid="{B52F377E-35F6-4DAA-B34F-1DAD8172D0D7}"/>
    <hyperlink ref="AD11" r:id="rId36" display="$2,055 " xr:uid="{39BA3E26-A3DC-48CA-B114-8211A04F01DF}"/>
    <hyperlink ref="AG11" r:id="rId37" display="67815" xr:uid="{A3CDEED5-AE5B-4661-8907-C04F41007B70}"/>
    <hyperlink ref="N10" r:id="rId38" display="36.10%" xr:uid="{54021ADE-66CC-44E9-8F3B-3971A8E4C2E0}"/>
    <hyperlink ref="O10" r:id="rId39" display="91%" xr:uid="{EF3B14EB-85BD-422E-9AC1-CA7B83E05489}"/>
    <hyperlink ref="AC10" r:id="rId40" display="2421" xr:uid="{BA4B5D41-2A1E-4B0B-9632-212F2C5D8C44}"/>
    <hyperlink ref="AD10" r:id="rId41" display="2421" xr:uid="{32E63A3F-F2E5-40C5-9F1A-0813197C6CE7}"/>
    <hyperlink ref="AF10" r:id="rId42" display="75539" xr:uid="{B5DF83D2-2F1C-4D74-8875-D58D57AD94DA}"/>
    <hyperlink ref="AG10" r:id="rId43" display="75539" xr:uid="{E5024B36-2A72-4667-9049-DD5F55E780A1}"/>
    <hyperlink ref="O12" r:id="rId44" display="53%" xr:uid="{07102890-BDB5-4CEA-96A0-FAC2C1F4342F}"/>
    <hyperlink ref="I12" r:id="rId45" display="3.4" xr:uid="{B75B0E4A-E0FF-4F9F-997B-E9FD8C3D8FA0}"/>
    <hyperlink ref="G12" r:id="rId46" display="448" xr:uid="{581769D9-404D-40C3-ABCC-982F0ABC8948}"/>
    <hyperlink ref="H12" r:id="rId47" xr:uid="{6441E892-EA84-4E7F-B8BD-F9C5FDCC8CE6}"/>
    <hyperlink ref="J12" r:id="rId48" display="56" xr:uid="{1BFFA062-0D1A-46E0-BF28-C5D7B967826F}"/>
    <hyperlink ref="L12" r:id="rId49" display="623" xr:uid="{074364F9-1D27-4D52-820F-3172304D749F}"/>
    <hyperlink ref="K12" r:id="rId50" display="30" xr:uid="{97F8B07C-A899-46BF-96DD-1AAE26D53EA0}"/>
    <hyperlink ref="M12" r:id="rId51" display="3%" xr:uid="{E52A8E9A-2615-439E-A79B-CC871AA8046A}"/>
    <hyperlink ref="N12" r:id="rId52" display="60.50%" xr:uid="{3D5F2AF2-F934-46B7-9B02-B45AE150DBC3}"/>
    <hyperlink ref="X12" r:id="rId53" xr:uid="{24D113A4-484A-42E1-AD82-B05E38A18E77}"/>
    <hyperlink ref="AC12" r:id="rId54" display="993" xr:uid="{AE67C351-43F8-4D5A-9A66-64E2912679E3}"/>
    <hyperlink ref="AD12" r:id="rId55" display="1000" xr:uid="{3BFAEBA4-0CAF-48B1-8AA4-8A9FDFEC8B3E}"/>
    <hyperlink ref="AF12" r:id="rId56" display="29400" xr:uid="{0D261B43-925D-4B0F-852B-D0E94C67143C}"/>
    <hyperlink ref="AG12" r:id="rId57" display="29400" xr:uid="{212B7E86-DDC9-49AD-AF54-506F2EB4AB2B}"/>
    <hyperlink ref="AR12" r:id="rId58" display="117491" xr:uid="{A1BB7B6A-753E-41BD-BC9D-C8F0A9B7A7B4}"/>
    <hyperlink ref="AI13" r:id="rId59" location=":~:text=students%20considered%20for-,scholarships,-with%20over%20%246" xr:uid="{CAA061A8-5198-4673-AF03-FCA3DF2C9C57}"/>
    <hyperlink ref="L13" r:id="rId60" display="360" xr:uid="{73657236-5B87-43D9-8657-A1A7F8E17151}"/>
    <hyperlink ref="M13" r:id="rId61" display="1%" xr:uid="{CB4FCAC2-E6BB-4007-AFD8-626A7376A674}"/>
    <hyperlink ref="N13" r:id="rId62" display="54.70%" xr:uid="{9ABBA2D8-68DE-4A08-AE41-6E24AF1F21AC}"/>
    <hyperlink ref="O13" r:id="rId63" display="78%" xr:uid="{A0994EE2-E3E2-480B-ADDA-D9FC9ADC40C6}"/>
    <hyperlink ref="AC13" r:id="rId64" display="2115" xr:uid="{81648B36-F854-4352-9E8A-2D0FCDC4027C}"/>
    <hyperlink ref="AD13" r:id="rId65" display="2115" xr:uid="{946EC988-4B02-4AA0-A5C6-2DA158544DD8}"/>
    <hyperlink ref="AF13" r:id="rId66" display="109980" xr:uid="{F04FDC80-3740-4205-AE59-E34A90149A89}"/>
    <hyperlink ref="AG13" r:id="rId67" display="109980" xr:uid="{E3591821-574B-4741-BE77-E0202552957C}"/>
    <hyperlink ref="O14" r:id="rId68" display="88%" xr:uid="{3161DF01-BB69-422C-856A-C7DAF5CD7D68}"/>
    <hyperlink ref="I14" r:id="rId69" display="3.3" xr:uid="{106339C0-4F43-4E74-9CA4-9562DD0A7770}"/>
    <hyperlink ref="J14" r:id="rId70" display="48" xr:uid="{BA940C9C-C12C-4781-8FFE-5842C67488DB}"/>
    <hyperlink ref="G14" r:id="rId71" xr:uid="{EE4ED321-907C-4C0B-A675-137A5045427A}"/>
    <hyperlink ref="H14" r:id="rId72" xr:uid="{3ABF1611-339A-4738-969B-66034ED947D5}"/>
    <hyperlink ref="L14" r:id="rId73" display="264" xr:uid="{6F89D38F-5F48-4F71-9EC6-D901952531DB}"/>
    <hyperlink ref="K14" r:id="rId74" display="31" xr:uid="{B0D85A07-675D-40A0-A268-02B017A17084}"/>
    <hyperlink ref="M14" r:id="rId75" display="1%" xr:uid="{80E7A1E2-EC1C-4279-812B-8B2E84B02DC8}"/>
    <hyperlink ref="N14" r:id="rId76" display="81.80%" xr:uid="{0B87C191-A6A7-4A0A-9C37-DADA73A5DC73}"/>
    <hyperlink ref="AC14" r:id="rId77" display="561" xr:uid="{001442F0-AA2F-4C9B-BDAE-A0D658CE2CC3}"/>
    <hyperlink ref="AD14" r:id="rId78" display="565" xr:uid="{CBED1518-B51B-442A-8C48-9386018A88EB}"/>
    <hyperlink ref="AF14" r:id="rId79" display="14130" xr:uid="{A0176817-BF31-4A55-B473-CFD7FB269E1D}"/>
    <hyperlink ref="AG14" r:id="rId80" display="16950" xr:uid="{64EAFB69-54F6-4CF0-B1F0-D0B163B90066}"/>
    <hyperlink ref="N15" r:id="rId81" display="89%" xr:uid="{047C852C-EC09-4493-A1CF-4B44F0BF2172}"/>
    <hyperlink ref="I15" r:id="rId82" display="3.4" xr:uid="{5789C0B2-3B7B-419B-B945-AE3FEB986F30}"/>
    <hyperlink ref="L15" r:id="rId83" display="133" xr:uid="{144E1E5F-0191-441B-A29A-E66774E16D20}"/>
    <hyperlink ref="J15" r:id="rId84" display="69" xr:uid="{3F72E90C-DE25-476C-9AC4-3A784FF49BC6}"/>
    <hyperlink ref="G15" r:id="rId85" xr:uid="{524644AA-D932-4CE2-B7C8-B750D2D18863}"/>
    <hyperlink ref="H15" r:id="rId86" xr:uid="{80A94571-E0A8-4A85-A294-DCF6543DEA44}"/>
    <hyperlink ref="K15" r:id="rId87" display="30" xr:uid="{AD719B14-DDF2-48C3-87CF-BD0DEA7B0C48}"/>
    <hyperlink ref="M15" r:id="rId88" display="13%" xr:uid="{C2901380-DA79-47A7-964A-7FED97EB145B}"/>
    <hyperlink ref="O15" r:id="rId89" display="89%" xr:uid="{2AA6494A-1258-423B-A07D-49F111E905E8}"/>
    <hyperlink ref="AC15" r:id="rId90" display="1165" xr:uid="{85244D92-DBAB-492B-82C1-8884363D68E3}"/>
    <hyperlink ref="AD15" r:id="rId91" display="1165" xr:uid="{5C8F0729-60BD-470F-8F18-3D6379C43175}"/>
    <hyperlink ref="AF15" r:id="rId92" display="34950" xr:uid="{6DD06997-9480-4A97-BC24-C0E064041888}"/>
    <hyperlink ref="AG15" r:id="rId93" display="34950" xr:uid="{9D6DE017-9485-4611-9450-3A74D9B6BBA2}"/>
    <hyperlink ref="AB3" r:id="rId94" xr:uid="{B37389AD-C017-42B4-AC9B-53B6DD8DBFBC}"/>
    <hyperlink ref="D5" r:id="rId95" xr:uid="{FDB41226-AC40-46C3-B8DA-F4899A9D7B93}"/>
    <hyperlink ref="AC5:AD5" r:id="rId96" display="520" xr:uid="{7E4E05A9-1159-49AE-82B7-14A64084885F}"/>
    <hyperlink ref="AF5:AG5" r:id="rId97" display="16640" xr:uid="{1F7B5E74-1985-44F1-953F-A2097DB6DAEE}"/>
    <hyperlink ref="K5:O5" r:id="rId98" display="33" xr:uid="{A950FB9A-41EA-4694-84C3-1F744DB20D57}"/>
    <hyperlink ref="G5:I5" r:id="rId99" display="NA" xr:uid="{EF48F11C-8D20-4C92-85EE-4D8DC06E3743}"/>
    <hyperlink ref="P5:Q5" r:id="rId100" display="24" xr:uid="{DA5A9726-8A6A-4FA8-A3E7-FF9E0E43F10F}"/>
    <hyperlink ref="J5" r:id="rId101" xr:uid="{95D55B43-133E-4C45-BF67-DF788ADE4AAB}"/>
    <hyperlink ref="D6" r:id="rId102" xr:uid="{F4E5BFF1-5889-422B-B50F-6A3770C7A055}"/>
    <hyperlink ref="D4" r:id="rId103" xr:uid="{BA74F012-CC9F-404A-B31F-240E6EF9FB4A}"/>
    <hyperlink ref="U4" r:id="rId104" location=":~:text=about%20these%20optional-,intensive%20courses,-" xr:uid="{9FC86CF5-8C92-46B9-B67F-54A895B1D90B}"/>
    <hyperlink ref="G4:O4" r:id="rId105" display="507" xr:uid="{4CF665AD-A7E0-4224-9939-4D321336D90E}"/>
    <hyperlink ref="AB4" r:id="rId106" xr:uid="{D7C2F6E0-A617-4338-8A63-12CCDFD48822}"/>
    <hyperlink ref="AB5" r:id="rId107" xr:uid="{D71B31B9-57BA-4057-A885-F09567F19391}"/>
    <hyperlink ref="AB6" r:id="rId108" location="graduate" xr:uid="{B4A849FC-BAC4-4E25-B4F8-CE05143B2ED1}"/>
    <hyperlink ref="AB8" r:id="rId109" xr:uid="{291443A9-3D9A-4DAF-8E30-C4506CA6BB04}"/>
    <hyperlink ref="AB9" r:id="rId110" xr:uid="{6F238F6E-39F5-4AA3-962F-E180B555B9BA}"/>
    <hyperlink ref="AB10" r:id="rId111" xr:uid="{9A46CC5F-F08E-4CCD-9F3D-A6B41DEB20F4}"/>
    <hyperlink ref="AB11" r:id="rId112" xr:uid="{765410B8-232E-496E-940E-B3E6CC16E6E8}"/>
    <hyperlink ref="AB12" r:id="rId113" xr:uid="{75275D7A-6282-4CCF-8983-8F73A206CA2F}"/>
    <hyperlink ref="AB13" r:id="rId114" location="karen-weiss" xr:uid="{527DF977-8822-4875-BC07-9ADE533E3957}"/>
    <hyperlink ref="AB14" r:id="rId115" xr:uid="{B6EC9255-5531-4B86-B31D-765798039F42}"/>
    <hyperlink ref="AB15" r:id="rId116" xr:uid="{2D9171E5-A80A-4948-9410-DAB0DBC34EFC}"/>
    <hyperlink ref="AB2" r:id="rId117" xr:uid="{B2367F14-5375-42C6-891F-7E377B326FF8}"/>
    <hyperlink ref="U14" r:id="rId118" xr:uid="{5E7F37EF-5794-40BC-9AEB-3AC6DC1E9D45}"/>
    <hyperlink ref="X14" r:id="rId119" xr:uid="{E680DED4-71B5-413F-8BC8-8ED9A1416DCC}"/>
    <hyperlink ref="U12" r:id="rId120" xr:uid="{5B31CBDE-F64F-403D-8764-2FD2E17082B7}"/>
    <hyperlink ref="X13" r:id="rId121" xr:uid="{1A9B1D8F-F6F2-4B18-96EA-D6FD102E1259}"/>
    <hyperlink ref="M2:N2" r:id="rId122" display="66.80%" xr:uid="{D8B87F07-154E-4D09-A7F6-B3DBE8C2B221}"/>
    <hyperlink ref="U2" r:id="rId123" xr:uid="{D93CE1DD-51A0-4255-B89F-F56B860940A4}"/>
    <hyperlink ref="X2" r:id="rId124" xr:uid="{F5CEB5E2-F7AC-4446-9599-70D87D67EC0C}"/>
    <hyperlink ref="K2" r:id="rId125" display="25" xr:uid="{96712092-DD39-43A9-BA10-8044DDAB597A}"/>
    <hyperlink ref="L2" r:id="rId126" display="380" xr:uid="{334C78F2-9E2D-49A4-9930-A54F84352226}"/>
    <hyperlink ref="O2" r:id="rId127" display="48.40%" xr:uid="{7043CE21-A1AB-4470-9FAC-0249E460BDDB}"/>
    <hyperlink ref="AO2" r:id="rId128" display="1" xr:uid="{4CA9CA5E-32DB-40BD-842A-C9B5FBEC705C}"/>
    <hyperlink ref="AO6" r:id="rId129" display="5" xr:uid="{CEE73971-6E22-4014-817D-675E00C3A25E}"/>
    <hyperlink ref="AO12" r:id="rId130" display="30" xr:uid="{D54F303A-D22D-4B6C-874D-348E008DF6B1}"/>
    <hyperlink ref="AO15" r:id="rId131" display="13" xr:uid="{61EE957C-A2A1-4A1A-AA77-2C7B7E07FF6A}"/>
    <hyperlink ref="AN9" r:id="rId132" display="8" xr:uid="{47796146-AFB0-4071-B93C-FBDD74BE071C}"/>
    <hyperlink ref="AN4" r:id="rId133" display="33" xr:uid="{6AD7C836-FA6F-483D-8CD4-5CBCE7758ED5}"/>
    <hyperlink ref="AN6" r:id="rId134" display="1" xr:uid="{C460345D-A81B-4263-8476-D54258C274DE}"/>
    <hyperlink ref="AN15" r:id="rId135" display="56" xr:uid="{5A6AEA59-20A1-4EB0-A56B-EA60786F1145}"/>
    <hyperlink ref="AO8" r:id="rId136" display="16" xr:uid="{64273867-01F0-4270-AD9B-1FFF662491C7}"/>
    <hyperlink ref="D3" r:id="rId137" xr:uid="{53DD3904-1490-4B00-88BB-8AD1393428FA}"/>
    <hyperlink ref="U3" r:id="rId138" display="https://onlinedegrees.purdue.edu/purdue-global/business/ms-management/?creative=522076577888&amp;device=c&amp;matchtype=b&amp;network=g&amp;gclsrc=aw.ds&amp;source=SF55042&amp;ve=62295&amp;utm_source=Google&amp;utm_medium=CPC&amp;utm_campaign=pgo_sem_gsa_pros_inq_br_purdue_np_nonprog_ms_mbr&amp;utm_term=106567726-VQ2-g-VQ6-522076577888-VQ16-c-Target-kwd-426366233733&amp;gad_source=1&amp;gad_campaignid=9324055627&amp;gbraid=0AAAAAClj6H-fmbBKFXCzlI6wjt78RRzqx&amp;gclid=CjwKCAjw_fnFBhB0EiwAH_MfZgOr2pcGGr9KNhrzkJDMtE6f3j9wlpWnYOcFSwHS1gcQ__aZY2gqXBoCzOQQAvD_BwE" xr:uid="{770F0D54-7F47-4907-A9FD-8CE3E8CA3A7F}"/>
    <hyperlink ref="X3" r:id="rId139" xr:uid="{D9C0D5A2-937D-4F6D-8C4E-370318BE4D9A}"/>
    <hyperlink ref="AC3:AH3" r:id="rId140" display="485" xr:uid="{42CBAF77-8FBE-4E60-BA93-B4D85DA426FE}"/>
    <hyperlink ref="U5" r:id="rId141" xr:uid="{5682C274-1A13-4D55-9E21-90C3F5425BDD}"/>
    <hyperlink ref="X5" r:id="rId142" xr:uid="{C66AF3AC-6FBD-4A7E-812B-7DE4D12AFBEA}"/>
    <hyperlink ref="U6" r:id="rId143" xr:uid="{094463AF-D81E-45C8-B66D-241242A1E1A5}"/>
    <hyperlink ref="X6" r:id="rId144" xr:uid="{2F3F9596-1208-49B9-8F5C-E61973495F18}"/>
    <hyperlink ref="U8" r:id="rId145" xr:uid="{6475338F-956F-44E2-8BA8-04685255489D}"/>
    <hyperlink ref="X8" r:id="rId146" xr:uid="{492D3729-D4C4-4414-A12F-28CC24173A7C}"/>
    <hyperlink ref="U15" r:id="rId147" xr:uid="{0A60A9F9-89C6-436A-9ED9-22A4A7977049}"/>
    <hyperlink ref="X15" r:id="rId148" xr:uid="{84216312-B19D-4A38-B030-33BC964CBCD4}"/>
    <hyperlink ref="X4" r:id="rId149" xr:uid="{E2DA3263-D7B5-4147-A9DF-4231A6557D43}"/>
    <hyperlink ref="AC4" r:id="rId150" display="1037" xr:uid="{E1C7C290-55D8-4E7D-BAB2-A41F5FE1BF21}"/>
    <hyperlink ref="AD4:AE4" r:id="rId151" display="1037" xr:uid="{82F24BF0-7D4D-4E7F-AB4C-A3AFBD6F3C1B}"/>
    <hyperlink ref="AF4" r:id="rId152" xr:uid="{600FD1D6-C7A9-4B4D-BF13-C3414B64C2E2}"/>
    <hyperlink ref="AG4:AH4" r:id="rId153" display="31110-34221" xr:uid="{E1546AC9-4090-46E3-BB25-C18DC3C326B3}"/>
    <hyperlink ref="AE5" r:id="rId154" display="520" xr:uid="{B9D158AE-47A4-499F-BB28-582C17803964}"/>
    <hyperlink ref="AH5" r:id="rId155" display="16640" xr:uid="{D889B6D1-2E25-4CC9-B040-789E25D1375B}"/>
    <hyperlink ref="AE11" r:id="rId156" display="$2,055 " xr:uid="{0309A0A3-CFE3-4277-A313-CEADB06D76F7}"/>
    <hyperlink ref="AE10" r:id="rId157" display="2421" xr:uid="{A4911B9C-F1F9-443D-8491-57BE9D3AB3C6}"/>
    <hyperlink ref="AE12" r:id="rId158" display="1000" xr:uid="{245998B6-A87F-4C62-8501-ACF7D16582A2}"/>
    <hyperlink ref="AE13" r:id="rId159" display="2115" xr:uid="{905541C1-B476-44D4-916F-85A0FCCFD78A}"/>
    <hyperlink ref="AE14" r:id="rId160" display="565" xr:uid="{77B10BD6-EEA7-4BB4-8E0C-F4C46364AAEA}"/>
    <hyperlink ref="AE15" r:id="rId161" display="1165" xr:uid="{12FD8C51-0813-45D8-906D-3B8035682CA5}"/>
    <hyperlink ref="AH11" r:id="rId162" display="67815" xr:uid="{E797E23B-0755-4C9C-AF84-3B98CC3F6849}"/>
    <hyperlink ref="AH10" r:id="rId163" display="75539" xr:uid="{2623FC92-3C32-4FF8-AB21-C6AB46D7E4F1}"/>
    <hyperlink ref="AH12" r:id="rId164" display="29400" xr:uid="{C0C49EFA-A802-4FE1-89CB-7B32F3ED1563}"/>
    <hyperlink ref="AH13" r:id="rId165" display="109980" xr:uid="{169CBD0A-F41E-41E9-B242-3C11B67B44E8}"/>
    <hyperlink ref="AH14" r:id="rId166" display="16950" xr:uid="{0C6C6F47-E1AA-4A94-A775-8F8B1E514202}"/>
    <hyperlink ref="AH15" r:id="rId167" display="34950" xr:uid="{8644E427-0E4D-4D9D-86D9-004C17AFE6B8}"/>
    <hyperlink ref="AJ6" r:id="rId168" location=":~:text=General%20deposit%20of%20%24100%20for%20new%2C%20transfer%2C%20or%20re%2Dadmitted%20students" display="$100 " xr:uid="{6FD8175E-D6FD-41CB-9E48-D325D4EDC168}"/>
    <hyperlink ref="AC6:AH6" r:id="rId169" display="956" xr:uid="{80D897E0-6421-426F-AFA0-41ED0993DE36}"/>
    <hyperlink ref="AQ5:AR5" r:id="rId170" display="91%" xr:uid="{6C7DA00C-D883-4954-A316-2A54C59A0D2E}"/>
    <hyperlink ref="U9" r:id="rId171" xr:uid="{30EFEF86-ECDD-4928-8671-FF9D94A97463}"/>
    <hyperlink ref="X9" r:id="rId172" xr:uid="{F7868053-67AB-4792-905E-8899837A2EE3}"/>
    <hyperlink ref="D7" r:id="rId173" xr:uid="{9C6354A7-9828-4429-962A-25E71A6DED1B}"/>
    <hyperlink ref="L7" r:id="rId174" xr:uid="{14150043-1ECC-42C8-9B3C-292A861CBD89}"/>
    <hyperlink ref="AQ7:AR7" r:id="rId175" display="95-100%" xr:uid="{0AD446FE-D1C4-4EB5-A969-85D0F7B7AF55}"/>
    <hyperlink ref="AB7" r:id="rId176" xr:uid="{F08413FB-1B15-4F15-A4C5-41F863051CAB}"/>
    <hyperlink ref="U7" r:id="rId177" xr:uid="{D74DD5D1-9C79-468B-AAEF-74E303D35A30}"/>
    <hyperlink ref="X7" r:id="rId178" xr:uid="{BC3D9E09-9E9E-4AB9-8A71-9EF2EE8489A9}"/>
    <hyperlink ref="AT3:AV3" r:id="rId179" display="485" xr:uid="{E775D964-D551-42E0-8B5B-56A5C9A431EF}"/>
    <hyperlink ref="AT4" r:id="rId180" xr:uid="{0F2C57D1-C23F-40EA-BE66-7E258FE332AF}"/>
    <hyperlink ref="AU4:AV4" r:id="rId181" xr:uid="{7435166D-27E9-4480-B389-E9D036CA4F9B}"/>
    <hyperlink ref="AT5:AV5" r:id="rId182" display="$37,584 " xr:uid="{C9B4431C-1307-49DD-82C4-29A75032B4C3}"/>
    <hyperlink ref="AT6:AV6" r:id="rId183" display="$22,676.68 " xr:uid="{20BE2F55-5802-443A-850C-D309E52BB25A}"/>
    <hyperlink ref="AT7:AV7" r:id="rId184" display="$33,934.50 " xr:uid="{5ABE6DAD-3E75-4D8B-B321-C62C9465CEF2}"/>
    <hyperlink ref="AT8:AV8" r:id="rId185" display="$52,500 " xr:uid="{9E3F9B32-9A87-47B0-8228-10D6CE2ADF7C}"/>
    <hyperlink ref="AT9:AV9" r:id="rId186" display="$42,636 " xr:uid="{3634E308-BB83-4963-9429-33FA4B7B30B2}"/>
    <hyperlink ref="AT10:AV10" r:id="rId187" display="$61,194 " xr:uid="{5D97CB63-FB4C-430D-AD46-63A9129183C4}"/>
    <hyperlink ref="AT11:AV11" r:id="rId188" display="$62,280 " xr:uid="{8C70E36E-910A-4121-A8D0-8E76B34E4C34}"/>
    <hyperlink ref="AT12:AV12" r:id="rId189" display="$35,015 " xr:uid="{2EDC8B07-9EDF-47D3-A878-609C9261F05A}"/>
    <hyperlink ref="AT13:AV13" r:id="rId190" location="omshr-cost" display="$56,100 " xr:uid="{40E96324-870C-4B84-860A-C84449055681}"/>
    <hyperlink ref="AT14:AV14" r:id="rId191" display="$20, 876" xr:uid="{5FDD6849-C30A-4A9A-9841-D44D1D80D77B}"/>
  </hyperlinks>
  <pageMargins left="0.7" right="0.7" top="0.75" bottom="0.75" header="0.3" footer="0.3"/>
  <legacyDrawing r:id="rId19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D4A3-AE32-4E88-B1C5-7727336382FC}">
  <sheetPr>
    <tabColor theme="4" tint="0.59999389629810485"/>
  </sheetPr>
  <dimension ref="A1:BJ41"/>
  <sheetViews>
    <sheetView zoomScale="107" workbookViewId="0">
      <pane xSplit="1" ySplit="1" topLeftCell="AX2" activePane="bottomRight" state="frozen"/>
      <selection pane="bottomRight" activeCell="AY20" sqref="AY20:BA20"/>
      <selection pane="bottomLeft" activeCell="A2" sqref="A2"/>
      <selection pane="topRight" activeCell="B1" sqref="B1"/>
    </sheetView>
  </sheetViews>
  <sheetFormatPr defaultColWidth="8.85546875" defaultRowHeight="15" customHeight="1"/>
  <cols>
    <col min="1" max="1" width="37.85546875" style="134" customWidth="1"/>
    <col min="2" max="2" width="43.42578125" style="26" bestFit="1" customWidth="1"/>
    <col min="3" max="3" width="46.42578125" style="26" bestFit="1" customWidth="1"/>
    <col min="4" max="4" width="16" style="26" customWidth="1"/>
    <col min="5" max="5" width="18.140625" style="26" bestFit="1" customWidth="1"/>
    <col min="6" max="6" width="14.85546875" style="26" bestFit="1" customWidth="1"/>
    <col min="7" max="7" width="36.85546875" style="26" bestFit="1" customWidth="1"/>
    <col min="8" max="9" width="58.42578125" style="26" bestFit="1" customWidth="1"/>
    <col min="10" max="10" width="37.7109375" style="26" customWidth="1"/>
    <col min="11" max="11" width="14.42578125" style="26" bestFit="1" customWidth="1"/>
    <col min="12" max="12" width="12.28515625" style="26" bestFit="1" customWidth="1"/>
    <col min="13" max="13" width="26.85546875" style="26" bestFit="1" customWidth="1"/>
    <col min="14" max="14" width="34.140625" style="26" customWidth="1"/>
    <col min="15" max="15" width="19.7109375" style="26" bestFit="1" customWidth="1"/>
    <col min="16" max="16" width="14.42578125" style="26" customWidth="1"/>
    <col min="17" max="17" width="16.140625" style="26" customWidth="1"/>
    <col min="18" max="18" width="12.140625" style="26" customWidth="1"/>
    <col min="19" max="19" width="13.7109375" style="26" customWidth="1"/>
    <col min="20" max="20" width="66.85546875" style="26" customWidth="1"/>
    <col min="21" max="21" width="17.42578125" style="26" bestFit="1" customWidth="1"/>
    <col min="22" max="22" width="10.7109375" style="26" bestFit="1" customWidth="1"/>
    <col min="23" max="23" width="22.42578125" style="26" customWidth="1"/>
    <col min="24" max="24" width="50.42578125" style="26" customWidth="1"/>
    <col min="25" max="25" width="49.85546875" style="26" customWidth="1"/>
    <col min="26" max="26" width="58.140625" style="26" customWidth="1"/>
    <col min="27" max="27" width="50.7109375" style="26" bestFit="1" customWidth="1"/>
    <col min="28" max="28" width="70.85546875" style="26" customWidth="1"/>
    <col min="29" max="29" width="22.85546875" style="26" bestFit="1" customWidth="1"/>
    <col min="30" max="30" width="43.42578125" style="26" customWidth="1"/>
    <col min="31" max="31" width="34" style="134" customWidth="1"/>
    <col min="32" max="32" width="33.140625" style="26" customWidth="1"/>
    <col min="33" max="33" width="24.140625" style="26" bestFit="1" customWidth="1"/>
    <col min="34" max="34" width="28.42578125" style="26" bestFit="1" customWidth="1"/>
    <col min="35" max="35" width="28.85546875" style="26" bestFit="1" customWidth="1"/>
    <col min="36" max="36" width="19.7109375" style="26" bestFit="1" customWidth="1"/>
    <col min="37" max="37" width="24" style="26" bestFit="1" customWidth="1"/>
    <col min="38" max="38" width="21.42578125" style="26" bestFit="1" customWidth="1"/>
    <col min="39" max="39" width="36.28515625" style="26" customWidth="1"/>
    <col min="40" max="40" width="12.42578125" style="26" customWidth="1"/>
    <col min="41" max="41" width="16.28515625" style="26" customWidth="1"/>
    <col min="42" max="42" width="30.28515625" style="26" bestFit="1" customWidth="1"/>
    <col min="43" max="44" width="30.28515625" style="26" customWidth="1"/>
    <col min="45" max="45" width="40.28515625" style="26" customWidth="1"/>
    <col min="46" max="46" width="26.28515625" style="26" customWidth="1"/>
    <col min="47" max="47" width="14.85546875" style="26" customWidth="1"/>
    <col min="48" max="48" width="15.85546875" style="26" customWidth="1"/>
    <col min="49" max="49" width="26" style="26" customWidth="1"/>
    <col min="50" max="50" width="35" style="26" bestFit="1" customWidth="1"/>
    <col min="51" max="51" width="26" style="26" bestFit="1" customWidth="1"/>
    <col min="52" max="52" width="30.140625" style="26" bestFit="1" customWidth="1"/>
    <col min="53" max="53" width="30.7109375" style="26" bestFit="1" customWidth="1"/>
    <col min="54" max="56" width="9.140625" style="26"/>
    <col min="57" max="57" width="16" style="26" bestFit="1" customWidth="1"/>
    <col min="58" max="16384" width="8.85546875" style="26"/>
  </cols>
  <sheetData>
    <row r="1" spans="1:62" ht="15" customHeight="1">
      <c r="A1" s="91" t="s">
        <v>4</v>
      </c>
      <c r="B1" s="91" t="s">
        <v>6</v>
      </c>
      <c r="C1" s="91" t="s">
        <v>7</v>
      </c>
      <c r="D1" s="91" t="s">
        <v>11</v>
      </c>
      <c r="E1" s="91" t="s">
        <v>82</v>
      </c>
      <c r="F1" s="91" t="s">
        <v>83</v>
      </c>
      <c r="G1" s="91" t="s">
        <v>698</v>
      </c>
      <c r="H1" s="91" t="s">
        <v>699</v>
      </c>
      <c r="I1" s="91" t="s">
        <v>700</v>
      </c>
      <c r="J1" s="91" t="s">
        <v>701</v>
      </c>
      <c r="K1" s="91" t="s">
        <v>84</v>
      </c>
      <c r="L1" s="91" t="s">
        <v>85</v>
      </c>
      <c r="M1" s="91" t="s">
        <v>14</v>
      </c>
      <c r="N1" s="91" t="s">
        <v>86</v>
      </c>
      <c r="O1" s="91" t="s">
        <v>20</v>
      </c>
      <c r="P1" s="91" t="s">
        <v>21</v>
      </c>
      <c r="Q1" s="91" t="s">
        <v>24</v>
      </c>
      <c r="R1" s="91" t="s">
        <v>26</v>
      </c>
      <c r="S1" s="91" t="s">
        <v>702</v>
      </c>
      <c r="T1" s="91" t="s">
        <v>703</v>
      </c>
      <c r="U1" s="91" t="s">
        <v>30</v>
      </c>
      <c r="V1" s="91" t="s">
        <v>38</v>
      </c>
      <c r="W1" s="91" t="s">
        <v>36</v>
      </c>
      <c r="X1" s="184" t="s">
        <v>87</v>
      </c>
      <c r="Y1" s="107" t="s">
        <v>88</v>
      </c>
      <c r="Z1" s="107" t="s">
        <v>89</v>
      </c>
      <c r="AA1" s="67" t="s">
        <v>269</v>
      </c>
      <c r="AB1" s="67" t="s">
        <v>270</v>
      </c>
      <c r="AC1" s="184" t="s">
        <v>90</v>
      </c>
      <c r="AD1" s="184" t="s">
        <v>91</v>
      </c>
      <c r="AE1" s="184" t="s">
        <v>92</v>
      </c>
      <c r="AF1" s="91" t="s">
        <v>93</v>
      </c>
      <c r="AG1" s="91" t="s">
        <v>94</v>
      </c>
      <c r="AH1" s="91" t="s">
        <v>95</v>
      </c>
      <c r="AI1" s="91" t="s">
        <v>96</v>
      </c>
      <c r="AJ1" s="91" t="s">
        <v>97</v>
      </c>
      <c r="AK1" s="91" t="s">
        <v>98</v>
      </c>
      <c r="AL1" s="91" t="s">
        <v>99</v>
      </c>
      <c r="AM1" s="91" t="s">
        <v>55</v>
      </c>
      <c r="AN1" s="91" t="s">
        <v>57</v>
      </c>
      <c r="AO1" s="91" t="s">
        <v>704</v>
      </c>
      <c r="AP1" s="266" t="s">
        <v>126</v>
      </c>
      <c r="AQ1" s="265" t="s">
        <v>127</v>
      </c>
      <c r="AR1" s="265" t="s">
        <v>128</v>
      </c>
      <c r="AS1" s="91" t="s">
        <v>62</v>
      </c>
      <c r="AT1" s="290" t="s">
        <v>64</v>
      </c>
      <c r="AU1" s="91" t="s">
        <v>101</v>
      </c>
      <c r="AV1" s="334" t="s">
        <v>102</v>
      </c>
      <c r="AW1" s="91" t="s">
        <v>69</v>
      </c>
      <c r="AX1" s="91" t="s">
        <v>71</v>
      </c>
      <c r="AY1" s="347" t="s">
        <v>129</v>
      </c>
      <c r="AZ1" s="347" t="s">
        <v>130</v>
      </c>
      <c r="BA1" s="347" t="s">
        <v>131</v>
      </c>
      <c r="BJ1" s="96"/>
    </row>
    <row r="2" spans="1:62" ht="15" customHeight="1">
      <c r="A2" s="194" t="s">
        <v>132</v>
      </c>
      <c r="B2" s="238" t="s">
        <v>705</v>
      </c>
      <c r="C2" s="238" t="s">
        <v>706</v>
      </c>
      <c r="D2" s="174" t="s">
        <v>707</v>
      </c>
      <c r="E2" s="42" t="s">
        <v>136</v>
      </c>
      <c r="F2" s="42" t="s">
        <v>137</v>
      </c>
      <c r="G2" s="42" t="s">
        <v>708</v>
      </c>
      <c r="H2" s="42" t="s">
        <v>709</v>
      </c>
      <c r="I2" s="92" t="s">
        <v>710</v>
      </c>
      <c r="J2" s="92" t="s">
        <v>278</v>
      </c>
      <c r="K2" s="163" t="s">
        <v>138</v>
      </c>
      <c r="L2" s="163" t="s">
        <v>138</v>
      </c>
      <c r="M2" s="163" t="s">
        <v>138</v>
      </c>
      <c r="N2" s="163" t="s">
        <v>138</v>
      </c>
      <c r="O2" s="163" t="s">
        <v>138</v>
      </c>
      <c r="P2" s="163" t="s">
        <v>138</v>
      </c>
      <c r="Q2" s="163" t="s">
        <v>138</v>
      </c>
      <c r="R2" s="163" t="s">
        <v>138</v>
      </c>
      <c r="S2" s="41">
        <v>87</v>
      </c>
      <c r="T2" s="240" t="s">
        <v>138</v>
      </c>
      <c r="U2" s="92">
        <v>24</v>
      </c>
      <c r="V2" s="92">
        <v>48</v>
      </c>
      <c r="W2" s="241" t="s">
        <v>711</v>
      </c>
      <c r="X2" s="42" t="s">
        <v>138</v>
      </c>
      <c r="Y2" s="150" t="s">
        <v>138</v>
      </c>
      <c r="Z2" s="42" t="s">
        <v>138</v>
      </c>
      <c r="AA2" s="42" t="s">
        <v>141</v>
      </c>
      <c r="AB2" s="190" t="s">
        <v>712</v>
      </c>
      <c r="AC2" s="35" t="s">
        <v>141</v>
      </c>
      <c r="AD2" s="174" t="s">
        <v>409</v>
      </c>
      <c r="AE2" s="188" t="s">
        <v>713</v>
      </c>
      <c r="AF2" s="46" t="s">
        <v>310</v>
      </c>
      <c r="AG2" s="105">
        <v>728</v>
      </c>
      <c r="AH2" s="105">
        <v>748</v>
      </c>
      <c r="AI2" s="105">
        <v>748</v>
      </c>
      <c r="AJ2" s="105">
        <v>34944</v>
      </c>
      <c r="AK2" s="105">
        <v>35904</v>
      </c>
      <c r="AL2" s="201">
        <v>35904</v>
      </c>
      <c r="AM2" s="191" t="s">
        <v>141</v>
      </c>
      <c r="AN2" s="92" t="s">
        <v>138</v>
      </c>
      <c r="AO2" s="92" t="s">
        <v>138</v>
      </c>
      <c r="AP2" s="129">
        <f>(($V2*AG2)/SUM($AW2:$AX2))*12</f>
        <v>3.4147231270358307</v>
      </c>
      <c r="AQ2" s="129">
        <f t="shared" ref="AQ2:AR2" si="0">(($V2*AH2)/SUM($AW2:$AX2))*12</f>
        <v>3.5085342019543972</v>
      </c>
      <c r="AR2" s="129">
        <f t="shared" si="0"/>
        <v>3.5085342019543972</v>
      </c>
      <c r="AS2" s="92" t="s">
        <v>138</v>
      </c>
      <c r="AT2" s="248" t="s">
        <v>138</v>
      </c>
      <c r="AU2" s="249" t="s">
        <v>138</v>
      </c>
      <c r="AV2" s="335" t="s">
        <v>138</v>
      </c>
      <c r="AW2" s="251">
        <v>122800</v>
      </c>
      <c r="AX2" s="344" t="s">
        <v>138</v>
      </c>
      <c r="AY2" s="373">
        <v>34944</v>
      </c>
      <c r="AZ2" s="373">
        <v>35904</v>
      </c>
      <c r="BA2" s="374">
        <v>35904</v>
      </c>
      <c r="BJ2" s="96"/>
    </row>
    <row r="3" spans="1:62" ht="15" customHeight="1">
      <c r="A3" s="194" t="s">
        <v>714</v>
      </c>
      <c r="B3" s="98" t="s">
        <v>233</v>
      </c>
      <c r="C3" s="239" t="s">
        <v>715</v>
      </c>
      <c r="D3" s="190" t="s">
        <v>716</v>
      </c>
      <c r="E3" s="42" t="s">
        <v>235</v>
      </c>
      <c r="F3" s="42" t="s">
        <v>137</v>
      </c>
      <c r="G3" s="42" t="s">
        <v>717</v>
      </c>
      <c r="H3" s="42" t="s">
        <v>718</v>
      </c>
      <c r="I3" s="42" t="s">
        <v>710</v>
      </c>
      <c r="J3" s="42" t="s">
        <v>719</v>
      </c>
      <c r="K3" s="41">
        <v>661</v>
      </c>
      <c r="L3" s="96" t="s">
        <v>138</v>
      </c>
      <c r="M3" s="41">
        <v>3.4</v>
      </c>
      <c r="N3" s="163" t="s">
        <v>138</v>
      </c>
      <c r="O3" s="163" t="s">
        <v>138</v>
      </c>
      <c r="P3" s="163" t="s">
        <v>138</v>
      </c>
      <c r="Q3" s="163" t="s">
        <v>138</v>
      </c>
      <c r="R3" s="163" t="s">
        <v>138</v>
      </c>
      <c r="S3" s="102">
        <v>0.28999999999999998</v>
      </c>
      <c r="T3" s="41" t="s">
        <v>720</v>
      </c>
      <c r="U3" s="26" t="s">
        <v>153</v>
      </c>
      <c r="V3" s="42">
        <v>54</v>
      </c>
      <c r="W3" s="242" t="s">
        <v>721</v>
      </c>
      <c r="X3" s="26" t="s">
        <v>141</v>
      </c>
      <c r="Y3" s="190" t="s">
        <v>722</v>
      </c>
      <c r="Z3" s="244" t="s">
        <v>723</v>
      </c>
      <c r="AA3" s="42" t="s">
        <v>141</v>
      </c>
      <c r="AB3" s="190" t="s">
        <v>724</v>
      </c>
      <c r="AC3" s="26" t="s">
        <v>141</v>
      </c>
      <c r="AD3" s="41" t="s">
        <v>138</v>
      </c>
      <c r="AE3" s="188" t="s">
        <v>725</v>
      </c>
      <c r="AF3" s="42" t="s">
        <v>138</v>
      </c>
      <c r="AG3" s="105">
        <v>1758</v>
      </c>
      <c r="AH3" s="105">
        <v>1758</v>
      </c>
      <c r="AI3" s="105">
        <v>1758</v>
      </c>
      <c r="AJ3" s="105">
        <v>94944</v>
      </c>
      <c r="AK3" s="231">
        <v>94944</v>
      </c>
      <c r="AL3" s="105">
        <v>94944</v>
      </c>
      <c r="AM3" s="134" t="s">
        <v>726</v>
      </c>
      <c r="AN3" s="99">
        <v>500</v>
      </c>
      <c r="AO3" s="42" t="s">
        <v>310</v>
      </c>
      <c r="AP3" s="138" t="s">
        <v>138</v>
      </c>
      <c r="AQ3" s="138" t="s">
        <v>138</v>
      </c>
      <c r="AR3" s="138" t="s">
        <v>138</v>
      </c>
      <c r="AS3" s="44">
        <v>1</v>
      </c>
      <c r="AT3" s="248" t="s">
        <v>138</v>
      </c>
      <c r="AU3" s="46">
        <v>5</v>
      </c>
      <c r="AV3" s="139" t="s">
        <v>138</v>
      </c>
      <c r="AW3" s="232" t="s">
        <v>138</v>
      </c>
      <c r="AX3" s="140" t="s">
        <v>138</v>
      </c>
      <c r="AY3" s="375">
        <v>94944</v>
      </c>
      <c r="AZ3" s="376">
        <v>94944</v>
      </c>
      <c r="BA3" s="375">
        <v>94944</v>
      </c>
    </row>
    <row r="4" spans="1:62" ht="15" customHeight="1">
      <c r="A4" s="194" t="s">
        <v>727</v>
      </c>
      <c r="B4" s="98" t="s">
        <v>728</v>
      </c>
      <c r="C4" s="239" t="s">
        <v>729</v>
      </c>
      <c r="D4" s="190" t="s">
        <v>730</v>
      </c>
      <c r="E4" s="42" t="s">
        <v>731</v>
      </c>
      <c r="F4" s="42" t="s">
        <v>732</v>
      </c>
      <c r="G4" s="42" t="s">
        <v>733</v>
      </c>
      <c r="H4" s="42" t="s">
        <v>709</v>
      </c>
      <c r="I4" s="42" t="s">
        <v>310</v>
      </c>
      <c r="J4" s="42" t="s">
        <v>734</v>
      </c>
      <c r="K4" s="42" t="s">
        <v>138</v>
      </c>
      <c r="L4" s="79" t="s">
        <v>138</v>
      </c>
      <c r="M4" s="42">
        <v>3.3</v>
      </c>
      <c r="N4" s="79" t="s">
        <v>138</v>
      </c>
      <c r="O4" s="79" t="s">
        <v>138</v>
      </c>
      <c r="P4" s="79" t="s">
        <v>138</v>
      </c>
      <c r="Q4" s="79" t="s">
        <v>138</v>
      </c>
      <c r="R4" s="53">
        <v>0.31</v>
      </c>
      <c r="S4" s="42" t="s">
        <v>138</v>
      </c>
      <c r="T4" s="42" t="s">
        <v>735</v>
      </c>
      <c r="U4" s="42" t="s">
        <v>736</v>
      </c>
      <c r="V4" s="42">
        <v>62</v>
      </c>
      <c r="W4" s="188" t="s">
        <v>737</v>
      </c>
      <c r="X4" s="42" t="s">
        <v>141</v>
      </c>
      <c r="Y4" s="243" t="s">
        <v>738</v>
      </c>
      <c r="Z4" s="98" t="s">
        <v>739</v>
      </c>
      <c r="AA4" s="42" t="s">
        <v>141</v>
      </c>
      <c r="AB4" s="190" t="s">
        <v>740</v>
      </c>
      <c r="AC4" s="42" t="s">
        <v>138</v>
      </c>
      <c r="AD4" s="42" t="s">
        <v>138</v>
      </c>
      <c r="AE4" s="42" t="s">
        <v>138</v>
      </c>
      <c r="AF4" s="42" t="s">
        <v>310</v>
      </c>
      <c r="AG4" s="99">
        <f>AJ4/V$4</f>
        <v>2025.6290322580646</v>
      </c>
      <c r="AH4" s="99">
        <f>AK4/V$4</f>
        <v>2025.6290322580646</v>
      </c>
      <c r="AI4" s="99">
        <f>AL4/V$4</f>
        <v>2025.6290322580646</v>
      </c>
      <c r="AJ4" s="105">
        <v>125589</v>
      </c>
      <c r="AK4" s="105">
        <v>125589</v>
      </c>
      <c r="AL4" s="245">
        <v>125589</v>
      </c>
      <c r="AM4" s="98" t="s">
        <v>741</v>
      </c>
      <c r="AN4" s="99">
        <v>1500</v>
      </c>
      <c r="AO4" s="42" t="s">
        <v>310</v>
      </c>
      <c r="AP4" s="129">
        <f>(($V4*AG4)/SUM($AW4:$AX4))*12</f>
        <v>9.4465108407454075</v>
      </c>
      <c r="AQ4" s="129">
        <f t="shared" ref="AQ4:AQ5" si="1">(($V4*AH4)/SUM($AW4:$AX4))*12</f>
        <v>9.4465108407454075</v>
      </c>
      <c r="AR4" s="129">
        <f t="shared" ref="AR4:AR5" si="2">(($V4*AI4)/SUM($AW4:$AX4))*12</f>
        <v>9.4465108407454075</v>
      </c>
      <c r="AS4" s="46">
        <v>2</v>
      </c>
      <c r="AT4" s="247" t="s">
        <v>138</v>
      </c>
      <c r="AU4" s="46">
        <v>8</v>
      </c>
      <c r="AV4" s="139" t="s">
        <v>138</v>
      </c>
      <c r="AW4" s="99">
        <v>159537</v>
      </c>
      <c r="AX4" s="140" t="s">
        <v>138</v>
      </c>
      <c r="AY4" s="375">
        <v>125589</v>
      </c>
      <c r="AZ4" s="375">
        <v>125589</v>
      </c>
      <c r="BA4" s="377">
        <v>125589</v>
      </c>
    </row>
    <row r="5" spans="1:62" ht="15" customHeight="1">
      <c r="A5" s="194" t="s">
        <v>742</v>
      </c>
      <c r="B5" s="98" t="s">
        <v>380</v>
      </c>
      <c r="C5" s="239" t="s">
        <v>743</v>
      </c>
      <c r="D5" s="190" t="s">
        <v>744</v>
      </c>
      <c r="E5" s="42" t="s">
        <v>530</v>
      </c>
      <c r="F5" s="42" t="s">
        <v>531</v>
      </c>
      <c r="G5" s="42" t="s">
        <v>745</v>
      </c>
      <c r="H5" s="42" t="s">
        <v>746</v>
      </c>
      <c r="I5" s="42" t="s">
        <v>310</v>
      </c>
      <c r="J5" s="42" t="s">
        <v>278</v>
      </c>
      <c r="K5" s="41">
        <v>583</v>
      </c>
      <c r="L5" s="41" t="s">
        <v>747</v>
      </c>
      <c r="M5" s="41" t="s">
        <v>748</v>
      </c>
      <c r="N5" s="41" t="s">
        <v>749</v>
      </c>
      <c r="O5" s="163" t="s">
        <v>138</v>
      </c>
      <c r="P5" s="163" t="s">
        <v>138</v>
      </c>
      <c r="Q5" s="163" t="s">
        <v>138</v>
      </c>
      <c r="R5" s="102">
        <v>0.35</v>
      </c>
      <c r="S5" s="102">
        <v>0.47</v>
      </c>
      <c r="T5" s="41" t="s">
        <v>750</v>
      </c>
      <c r="U5" s="42">
        <v>21</v>
      </c>
      <c r="V5" s="42">
        <v>51</v>
      </c>
      <c r="W5" s="188" t="s">
        <v>751</v>
      </c>
      <c r="X5" s="42" t="s">
        <v>141</v>
      </c>
      <c r="Y5" s="174" t="s">
        <v>744</v>
      </c>
      <c r="Z5" s="98" t="s">
        <v>752</v>
      </c>
      <c r="AA5" s="42" t="s">
        <v>141</v>
      </c>
      <c r="AB5" s="190" t="s">
        <v>753</v>
      </c>
      <c r="AC5" s="42" t="s">
        <v>141</v>
      </c>
      <c r="AD5" s="41" t="s">
        <v>138</v>
      </c>
      <c r="AE5" s="98" t="s">
        <v>754</v>
      </c>
      <c r="AF5" s="42" t="s">
        <v>138</v>
      </c>
      <c r="AG5" s="99">
        <f>AJ5/V$4</f>
        <v>2028.5645161290322</v>
      </c>
      <c r="AH5" s="99">
        <f>AK5/V$4</f>
        <v>2028.5645161290322</v>
      </c>
      <c r="AI5" s="99">
        <f>AL5/V$4</f>
        <v>2028.5645161290322</v>
      </c>
      <c r="AJ5" s="105">
        <v>125771</v>
      </c>
      <c r="AK5" s="105">
        <v>125771</v>
      </c>
      <c r="AL5" s="105">
        <v>125771</v>
      </c>
      <c r="AM5" s="98" t="s">
        <v>755</v>
      </c>
      <c r="AN5" s="42" t="s">
        <v>138</v>
      </c>
      <c r="AO5" s="42" t="s">
        <v>310</v>
      </c>
      <c r="AP5" s="129">
        <f>(($V5*AG5)/SUM($AW5:$AX5))*12</f>
        <v>9.3454087792521126</v>
      </c>
      <c r="AQ5" s="129">
        <f t="shared" si="1"/>
        <v>9.3454087792521126</v>
      </c>
      <c r="AR5" s="129">
        <f t="shared" si="2"/>
        <v>9.3454087792521126</v>
      </c>
      <c r="AS5" s="41">
        <v>7</v>
      </c>
      <c r="AT5" s="248" t="s">
        <v>138</v>
      </c>
      <c r="AU5" s="46">
        <v>10</v>
      </c>
      <c r="AV5" s="139" t="s">
        <v>138</v>
      </c>
      <c r="AW5" s="99">
        <v>132844</v>
      </c>
      <c r="AX5" s="140" t="s">
        <v>138</v>
      </c>
      <c r="AY5" s="376">
        <v>150771</v>
      </c>
      <c r="AZ5" s="376">
        <v>150771</v>
      </c>
      <c r="BA5" s="376">
        <v>150771</v>
      </c>
    </row>
    <row r="6" spans="1:62" ht="15" customHeight="1">
      <c r="A6" s="194" t="s">
        <v>756</v>
      </c>
      <c r="B6" s="98" t="s">
        <v>757</v>
      </c>
      <c r="C6" s="239" t="s">
        <v>758</v>
      </c>
      <c r="D6" s="190" t="s">
        <v>759</v>
      </c>
      <c r="E6" s="42" t="s">
        <v>760</v>
      </c>
      <c r="F6" s="42" t="s">
        <v>170</v>
      </c>
      <c r="G6" s="42" t="s">
        <v>761</v>
      </c>
      <c r="H6" s="42" t="s">
        <v>746</v>
      </c>
      <c r="I6" s="42" t="s">
        <v>310</v>
      </c>
      <c r="J6" s="42" t="s">
        <v>710</v>
      </c>
      <c r="K6" s="41">
        <v>678</v>
      </c>
      <c r="L6" s="41">
        <v>318</v>
      </c>
      <c r="M6" s="41">
        <v>3.41</v>
      </c>
      <c r="N6" s="41">
        <v>80</v>
      </c>
      <c r="O6" s="41">
        <v>31</v>
      </c>
      <c r="P6" s="41">
        <v>316</v>
      </c>
      <c r="Q6" s="102">
        <v>0.12</v>
      </c>
      <c r="R6" s="102">
        <v>0.3</v>
      </c>
      <c r="S6" s="163" t="s">
        <v>138</v>
      </c>
      <c r="T6" s="41">
        <v>316</v>
      </c>
      <c r="U6" s="42">
        <v>32</v>
      </c>
      <c r="V6" s="42">
        <v>192</v>
      </c>
      <c r="W6" s="188" t="s">
        <v>762</v>
      </c>
      <c r="X6" s="42" t="s">
        <v>141</v>
      </c>
      <c r="Y6" s="41" t="s">
        <v>138</v>
      </c>
      <c r="Z6" s="98" t="s">
        <v>763</v>
      </c>
      <c r="AA6" s="42" t="s">
        <v>141</v>
      </c>
      <c r="AB6" s="190" t="s">
        <v>764</v>
      </c>
      <c r="AC6" s="42" t="s">
        <v>141</v>
      </c>
      <c r="AD6" s="41" t="s">
        <v>138</v>
      </c>
      <c r="AE6" s="98" t="s">
        <v>765</v>
      </c>
      <c r="AF6" s="42" t="s">
        <v>138</v>
      </c>
      <c r="AG6" s="105">
        <v>769</v>
      </c>
      <c r="AH6" s="105">
        <v>769</v>
      </c>
      <c r="AI6" s="105">
        <v>769</v>
      </c>
      <c r="AJ6" s="105">
        <v>147648</v>
      </c>
      <c r="AK6" s="105">
        <v>147648</v>
      </c>
      <c r="AL6" s="105">
        <v>147648</v>
      </c>
      <c r="AM6" s="98" t="s">
        <v>766</v>
      </c>
      <c r="AN6" s="99">
        <v>2500</v>
      </c>
      <c r="AO6" s="42" t="s">
        <v>310</v>
      </c>
      <c r="AP6" s="138" t="s">
        <v>138</v>
      </c>
      <c r="AQ6" s="138" t="s">
        <v>138</v>
      </c>
      <c r="AR6" s="138" t="s">
        <v>138</v>
      </c>
      <c r="AS6" s="41">
        <v>3</v>
      </c>
      <c r="AT6" s="248" t="s">
        <v>138</v>
      </c>
      <c r="AU6" s="46">
        <v>7</v>
      </c>
      <c r="AV6" s="139" t="s">
        <v>767</v>
      </c>
      <c r="AW6" s="42" t="s">
        <v>138</v>
      </c>
      <c r="AX6" s="140" t="s">
        <v>138</v>
      </c>
      <c r="AY6" s="378" t="s">
        <v>768</v>
      </c>
      <c r="AZ6" s="378" t="s">
        <v>769</v>
      </c>
      <c r="BA6" s="378" t="s">
        <v>770</v>
      </c>
    </row>
    <row r="7" spans="1:62" ht="15" customHeight="1">
      <c r="A7" s="194" t="s">
        <v>771</v>
      </c>
      <c r="B7" s="98" t="s">
        <v>772</v>
      </c>
      <c r="C7" s="239" t="s">
        <v>773</v>
      </c>
      <c r="D7" s="190" t="s">
        <v>774</v>
      </c>
      <c r="E7" s="42" t="s">
        <v>775</v>
      </c>
      <c r="F7" s="42" t="s">
        <v>776</v>
      </c>
      <c r="G7" s="42" t="s">
        <v>761</v>
      </c>
      <c r="H7" s="42" t="s">
        <v>709</v>
      </c>
      <c r="I7" s="42" t="s">
        <v>310</v>
      </c>
      <c r="J7" s="42" t="s">
        <v>278</v>
      </c>
      <c r="K7" s="41">
        <v>644</v>
      </c>
      <c r="L7" s="41" t="s">
        <v>777</v>
      </c>
      <c r="M7" s="41">
        <v>3.4</v>
      </c>
      <c r="N7" s="41" t="s">
        <v>778</v>
      </c>
      <c r="O7" s="163" t="s">
        <v>138</v>
      </c>
      <c r="P7" s="41">
        <v>70</v>
      </c>
      <c r="Q7" s="163" t="s">
        <v>138</v>
      </c>
      <c r="R7" s="81">
        <v>0.375</v>
      </c>
      <c r="S7" s="41" t="s">
        <v>779</v>
      </c>
      <c r="T7" s="163" t="s">
        <v>138</v>
      </c>
      <c r="U7" s="42">
        <v>21</v>
      </c>
      <c r="V7" s="42">
        <v>62</v>
      </c>
      <c r="W7" s="188" t="s">
        <v>780</v>
      </c>
      <c r="X7" s="42" t="s">
        <v>141</v>
      </c>
      <c r="Y7" s="174" t="s">
        <v>774</v>
      </c>
      <c r="Z7" s="98" t="s">
        <v>781</v>
      </c>
      <c r="AA7" s="42" t="s">
        <v>141</v>
      </c>
      <c r="AB7" s="190" t="s">
        <v>782</v>
      </c>
      <c r="AC7" s="42" t="s">
        <v>141</v>
      </c>
      <c r="AD7" s="174" t="s">
        <v>774</v>
      </c>
      <c r="AE7" s="98" t="s">
        <v>783</v>
      </c>
      <c r="AF7" s="42" t="s">
        <v>310</v>
      </c>
      <c r="AG7" s="105">
        <v>1548</v>
      </c>
      <c r="AH7" s="105">
        <v>1548</v>
      </c>
      <c r="AI7" s="105">
        <v>1548</v>
      </c>
      <c r="AJ7" s="105">
        <v>96000</v>
      </c>
      <c r="AK7" s="105">
        <v>96000</v>
      </c>
      <c r="AL7" s="105">
        <v>96000</v>
      </c>
      <c r="AM7" s="98" t="s">
        <v>784</v>
      </c>
      <c r="AN7" s="42" t="s">
        <v>138</v>
      </c>
      <c r="AO7" s="42" t="s">
        <v>138</v>
      </c>
      <c r="AP7" s="129">
        <f t="shared" ref="AP7:AP9" si="3">(($V7*AG7)/SUM($AW7:$AX7))*12</f>
        <v>7.4303999999999997</v>
      </c>
      <c r="AQ7" s="129">
        <f t="shared" ref="AQ7:AQ9" si="4">(($V7*AH7)/SUM($AW7:$AX7))*12</f>
        <v>7.4303999999999997</v>
      </c>
      <c r="AR7" s="129">
        <f t="shared" ref="AR7:AR9" si="5">(($V7*AI7)/SUM($AW7:$AX7))*12</f>
        <v>7.4303999999999997</v>
      </c>
      <c r="AS7" s="41">
        <v>4</v>
      </c>
      <c r="AT7" s="248" t="s">
        <v>138</v>
      </c>
      <c r="AU7" s="46">
        <v>14</v>
      </c>
      <c r="AV7" s="139" t="s">
        <v>785</v>
      </c>
      <c r="AW7" s="99">
        <v>155000</v>
      </c>
      <c r="AX7" s="140" t="s">
        <v>138</v>
      </c>
      <c r="AY7" s="375">
        <v>102000</v>
      </c>
      <c r="AZ7" s="375">
        <v>102000</v>
      </c>
      <c r="BA7" s="375">
        <v>102000</v>
      </c>
    </row>
    <row r="8" spans="1:62" ht="15" customHeight="1">
      <c r="A8" s="194" t="s">
        <v>786</v>
      </c>
      <c r="B8" s="98" t="s">
        <v>787</v>
      </c>
      <c r="C8" s="239" t="s">
        <v>788</v>
      </c>
      <c r="D8" s="190" t="s">
        <v>789</v>
      </c>
      <c r="E8" s="42" t="s">
        <v>481</v>
      </c>
      <c r="F8" s="42" t="s">
        <v>482</v>
      </c>
      <c r="G8" s="42" t="s">
        <v>708</v>
      </c>
      <c r="H8" s="42" t="s">
        <v>709</v>
      </c>
      <c r="I8" s="42" t="s">
        <v>310</v>
      </c>
      <c r="J8" s="42" t="s">
        <v>790</v>
      </c>
      <c r="K8" s="163" t="s">
        <v>138</v>
      </c>
      <c r="L8" s="41">
        <v>304</v>
      </c>
      <c r="M8" s="41" t="s">
        <v>791</v>
      </c>
      <c r="N8" s="41" t="s">
        <v>792</v>
      </c>
      <c r="O8" s="41">
        <v>32</v>
      </c>
      <c r="P8" s="41">
        <v>44</v>
      </c>
      <c r="Q8" s="163" t="s">
        <v>138</v>
      </c>
      <c r="R8" s="163" t="s">
        <v>138</v>
      </c>
      <c r="S8" s="41" t="s">
        <v>793</v>
      </c>
      <c r="T8" s="41" t="s">
        <v>794</v>
      </c>
      <c r="U8" s="42" t="s">
        <v>138</v>
      </c>
      <c r="V8" s="42">
        <v>49</v>
      </c>
      <c r="W8" s="188" t="s">
        <v>795</v>
      </c>
      <c r="X8" s="42" t="s">
        <v>141</v>
      </c>
      <c r="Y8" s="42" t="s">
        <v>138</v>
      </c>
      <c r="Z8" s="98" t="s">
        <v>796</v>
      </c>
      <c r="AA8" s="42" t="s">
        <v>141</v>
      </c>
      <c r="AB8" s="190" t="s">
        <v>797</v>
      </c>
      <c r="AC8" s="42" t="s">
        <v>138</v>
      </c>
      <c r="AD8" s="42" t="s">
        <v>138</v>
      </c>
      <c r="AE8" s="42" t="s">
        <v>138</v>
      </c>
      <c r="AF8" s="42" t="s">
        <v>138</v>
      </c>
      <c r="AG8" s="99">
        <f>AJ8/V$4</f>
        <v>932.25806451612902</v>
      </c>
      <c r="AH8" s="99">
        <f>AK8/V$4</f>
        <v>975.80645161290317</v>
      </c>
      <c r="AI8" s="99">
        <f>AL8/V$4</f>
        <v>975.80645161290317</v>
      </c>
      <c r="AJ8" s="105">
        <v>57800</v>
      </c>
      <c r="AK8" s="105">
        <v>60500</v>
      </c>
      <c r="AL8" s="105">
        <v>60500</v>
      </c>
      <c r="AM8" s="98" t="s">
        <v>798</v>
      </c>
      <c r="AN8" s="42" t="s">
        <v>138</v>
      </c>
      <c r="AO8" s="42" t="s">
        <v>138</v>
      </c>
      <c r="AP8" s="129">
        <f t="shared" si="3"/>
        <v>4.3971615056109536</v>
      </c>
      <c r="AQ8" s="129">
        <f t="shared" si="4"/>
        <v>4.6025652437623297</v>
      </c>
      <c r="AR8" s="129">
        <f t="shared" si="5"/>
        <v>4.6025652437623297</v>
      </c>
      <c r="AS8" s="41">
        <v>5</v>
      </c>
      <c r="AT8" s="248" t="s">
        <v>138</v>
      </c>
      <c r="AU8" s="46">
        <v>12</v>
      </c>
      <c r="AV8" s="139" t="s">
        <v>799</v>
      </c>
      <c r="AW8" s="99">
        <v>124664</v>
      </c>
      <c r="AX8" s="140" t="s">
        <v>138</v>
      </c>
      <c r="AY8" s="375">
        <v>74000</v>
      </c>
      <c r="AZ8" s="375">
        <v>74000</v>
      </c>
      <c r="BA8" s="375">
        <v>74000</v>
      </c>
    </row>
    <row r="9" spans="1:62" ht="15" customHeight="1">
      <c r="A9" s="194" t="s">
        <v>800</v>
      </c>
      <c r="B9" s="98" t="s">
        <v>801</v>
      </c>
      <c r="C9" s="239" t="s">
        <v>802</v>
      </c>
      <c r="D9" s="190" t="s">
        <v>803</v>
      </c>
      <c r="E9" s="42" t="s">
        <v>804</v>
      </c>
      <c r="F9" s="42" t="s">
        <v>482</v>
      </c>
      <c r="G9" s="42" t="s">
        <v>708</v>
      </c>
      <c r="H9" s="42" t="s">
        <v>718</v>
      </c>
      <c r="I9" s="42" t="s">
        <v>278</v>
      </c>
      <c r="J9" s="42" t="s">
        <v>805</v>
      </c>
      <c r="K9" s="41">
        <v>580</v>
      </c>
      <c r="L9" s="163" t="s">
        <v>138</v>
      </c>
      <c r="M9" s="41">
        <v>3.4</v>
      </c>
      <c r="N9" s="41">
        <v>88</v>
      </c>
      <c r="O9" s="41">
        <v>32</v>
      </c>
      <c r="P9" s="41" t="s">
        <v>138</v>
      </c>
      <c r="Q9" s="163" t="s">
        <v>138</v>
      </c>
      <c r="R9" s="102">
        <v>0.24</v>
      </c>
      <c r="S9" s="163" t="s">
        <v>138</v>
      </c>
      <c r="T9" s="163" t="s">
        <v>138</v>
      </c>
      <c r="U9" s="42" t="s">
        <v>806</v>
      </c>
      <c r="V9" s="42">
        <v>45</v>
      </c>
      <c r="W9" s="188" t="s">
        <v>807</v>
      </c>
      <c r="X9" s="42" t="s">
        <v>141</v>
      </c>
      <c r="Y9" s="42" t="s">
        <v>138</v>
      </c>
      <c r="Z9" s="98" t="s">
        <v>808</v>
      </c>
      <c r="AA9" s="42" t="s">
        <v>141</v>
      </c>
      <c r="AB9" s="190" t="s">
        <v>809</v>
      </c>
      <c r="AC9" s="42" t="s">
        <v>141</v>
      </c>
      <c r="AD9" s="42" t="s">
        <v>138</v>
      </c>
      <c r="AE9" s="98" t="s">
        <v>810</v>
      </c>
      <c r="AF9" s="42" t="s">
        <v>310</v>
      </c>
      <c r="AG9" s="105">
        <v>1145</v>
      </c>
      <c r="AH9" s="105">
        <v>1145</v>
      </c>
      <c r="AI9" s="105">
        <v>1145</v>
      </c>
      <c r="AJ9" s="105">
        <v>51525</v>
      </c>
      <c r="AK9" s="105">
        <v>51525</v>
      </c>
      <c r="AL9" s="105">
        <v>51525</v>
      </c>
      <c r="AM9" s="98" t="s">
        <v>141</v>
      </c>
      <c r="AN9" s="42" t="s">
        <v>138</v>
      </c>
      <c r="AO9" s="42" t="s">
        <v>138</v>
      </c>
      <c r="AP9" s="129">
        <f t="shared" si="3"/>
        <v>5.7599329265452512</v>
      </c>
      <c r="AQ9" s="129">
        <f t="shared" si="4"/>
        <v>5.7599329265452512</v>
      </c>
      <c r="AR9" s="129">
        <f t="shared" si="5"/>
        <v>5.7599329265452512</v>
      </c>
      <c r="AS9" s="41" t="s">
        <v>811</v>
      </c>
      <c r="AT9" s="248" t="s">
        <v>138</v>
      </c>
      <c r="AU9" s="46">
        <v>44</v>
      </c>
      <c r="AV9" s="139" t="s">
        <v>138</v>
      </c>
      <c r="AW9" s="99">
        <v>107345</v>
      </c>
      <c r="AX9" s="140" t="s">
        <v>138</v>
      </c>
      <c r="AY9" s="375">
        <v>56250</v>
      </c>
      <c r="AZ9" s="375">
        <v>56250</v>
      </c>
      <c r="BA9" s="375">
        <v>56250</v>
      </c>
    </row>
    <row r="10" spans="1:62" ht="15" customHeight="1">
      <c r="A10" s="194" t="s">
        <v>812</v>
      </c>
      <c r="B10" s="98" t="s">
        <v>813</v>
      </c>
      <c r="C10" s="239" t="s">
        <v>814</v>
      </c>
      <c r="D10" s="190" t="s">
        <v>815</v>
      </c>
      <c r="E10" s="42" t="s">
        <v>816</v>
      </c>
      <c r="F10" s="42" t="s">
        <v>679</v>
      </c>
      <c r="G10" s="42" t="s">
        <v>708</v>
      </c>
      <c r="H10" s="42" t="s">
        <v>817</v>
      </c>
      <c r="I10" s="42" t="s">
        <v>310</v>
      </c>
      <c r="J10" s="42" t="s">
        <v>278</v>
      </c>
      <c r="K10" s="163" t="s">
        <v>138</v>
      </c>
      <c r="L10" s="163" t="s">
        <v>138</v>
      </c>
      <c r="M10" s="41" t="s">
        <v>818</v>
      </c>
      <c r="N10" s="41" t="s">
        <v>819</v>
      </c>
      <c r="O10" s="41">
        <v>37</v>
      </c>
      <c r="P10" s="41" t="s">
        <v>820</v>
      </c>
      <c r="Q10" s="163" t="s">
        <v>138</v>
      </c>
      <c r="R10" s="81">
        <v>0.48699999999999999</v>
      </c>
      <c r="S10" s="41" t="s">
        <v>821</v>
      </c>
      <c r="T10" s="41" t="s">
        <v>822</v>
      </c>
      <c r="U10" s="42">
        <v>18</v>
      </c>
      <c r="V10" s="42" t="s">
        <v>823</v>
      </c>
      <c r="W10" s="188" t="s">
        <v>824</v>
      </c>
      <c r="X10" s="42" t="s">
        <v>141</v>
      </c>
      <c r="Y10" s="163" t="s">
        <v>138</v>
      </c>
      <c r="Z10" s="98" t="s">
        <v>825</v>
      </c>
      <c r="AA10" s="42" t="s">
        <v>141</v>
      </c>
      <c r="AB10" s="190" t="s">
        <v>826</v>
      </c>
      <c r="AC10" s="42" t="s">
        <v>138</v>
      </c>
      <c r="AD10" s="41" t="s">
        <v>138</v>
      </c>
      <c r="AE10" s="42" t="s">
        <v>138</v>
      </c>
      <c r="AF10" s="42" t="s">
        <v>310</v>
      </c>
      <c r="AG10" s="105">
        <v>1660</v>
      </c>
      <c r="AH10" s="105">
        <v>1660</v>
      </c>
      <c r="AI10" s="105">
        <v>1660</v>
      </c>
      <c r="AJ10" s="105">
        <v>78000</v>
      </c>
      <c r="AK10" s="105">
        <v>78000</v>
      </c>
      <c r="AL10" s="105">
        <v>78000</v>
      </c>
      <c r="AM10" s="98" t="s">
        <v>827</v>
      </c>
      <c r="AN10" s="42" t="s">
        <v>138</v>
      </c>
      <c r="AO10" s="42" t="s">
        <v>138</v>
      </c>
      <c r="AP10" s="138" t="s">
        <v>138</v>
      </c>
      <c r="AQ10" s="138" t="s">
        <v>138</v>
      </c>
      <c r="AR10" s="138" t="s">
        <v>138</v>
      </c>
      <c r="AS10" s="174" t="s">
        <v>828</v>
      </c>
      <c r="AT10" s="248" t="s">
        <v>138</v>
      </c>
      <c r="AU10" s="46">
        <v>55</v>
      </c>
      <c r="AV10" s="139" t="s">
        <v>829</v>
      </c>
      <c r="AW10" s="42" t="s">
        <v>830</v>
      </c>
      <c r="AX10" s="140" t="s">
        <v>138</v>
      </c>
      <c r="AY10" s="375">
        <v>78000</v>
      </c>
      <c r="AZ10" s="375">
        <v>78000</v>
      </c>
      <c r="BA10" s="375">
        <v>78000</v>
      </c>
    </row>
    <row r="11" spans="1:62" ht="15" customHeight="1">
      <c r="A11" s="194" t="s">
        <v>831</v>
      </c>
      <c r="B11" s="98" t="s">
        <v>832</v>
      </c>
      <c r="C11" s="239" t="s">
        <v>833</v>
      </c>
      <c r="D11" s="190" t="s">
        <v>834</v>
      </c>
      <c r="E11" s="42" t="s">
        <v>835</v>
      </c>
      <c r="F11" s="42" t="s">
        <v>161</v>
      </c>
      <c r="G11" s="42" t="s">
        <v>836</v>
      </c>
      <c r="H11" s="42" t="s">
        <v>837</v>
      </c>
      <c r="I11" s="42" t="s">
        <v>310</v>
      </c>
      <c r="J11" s="42" t="s">
        <v>310</v>
      </c>
      <c r="K11" s="41">
        <v>609</v>
      </c>
      <c r="L11" s="41">
        <v>310</v>
      </c>
      <c r="M11" s="41">
        <v>3.6</v>
      </c>
      <c r="N11" s="41" t="s">
        <v>792</v>
      </c>
      <c r="O11" s="41">
        <v>28</v>
      </c>
      <c r="P11" s="41" t="s">
        <v>138</v>
      </c>
      <c r="Q11" s="102">
        <v>0.1</v>
      </c>
      <c r="R11" s="102">
        <v>0.28000000000000003</v>
      </c>
      <c r="S11" s="163" t="s">
        <v>138</v>
      </c>
      <c r="T11" s="163" t="s">
        <v>138</v>
      </c>
      <c r="U11" s="42">
        <v>21</v>
      </c>
      <c r="V11" s="42">
        <v>53</v>
      </c>
      <c r="W11" s="188" t="s">
        <v>838</v>
      </c>
      <c r="X11" s="42" t="s">
        <v>141</v>
      </c>
      <c r="Y11" s="190" t="s">
        <v>839</v>
      </c>
      <c r="Z11" s="98" t="s">
        <v>840</v>
      </c>
      <c r="AA11" s="42" t="s">
        <v>141</v>
      </c>
      <c r="AB11" s="98" t="s">
        <v>841</v>
      </c>
      <c r="AC11" s="42" t="s">
        <v>141</v>
      </c>
      <c r="AD11" s="190" t="s">
        <v>842</v>
      </c>
      <c r="AE11" s="98" t="s">
        <v>843</v>
      </c>
      <c r="AF11" s="42" t="s">
        <v>310</v>
      </c>
      <c r="AG11" s="105">
        <v>952</v>
      </c>
      <c r="AH11" s="105">
        <v>1850</v>
      </c>
      <c r="AI11" s="105">
        <v>1850</v>
      </c>
      <c r="AJ11" s="105">
        <v>60589</v>
      </c>
      <c r="AK11" s="105">
        <v>107998</v>
      </c>
      <c r="AL11" s="105">
        <v>107998</v>
      </c>
      <c r="AM11" s="98" t="s">
        <v>844</v>
      </c>
      <c r="AN11" s="42" t="s">
        <v>138</v>
      </c>
      <c r="AO11" s="42" t="s">
        <v>138</v>
      </c>
      <c r="AP11" s="129">
        <f t="shared" ref="AP11:AP14" si="6">(($V11*AG11)/SUM($AW11:$AX11))*12</f>
        <v>4.8053333333333335</v>
      </c>
      <c r="AQ11" s="129">
        <f t="shared" ref="AQ11:AQ14" si="7">(($V11*AH11)/SUM($AW11:$AX11))*12</f>
        <v>9.3380952380952387</v>
      </c>
      <c r="AR11" s="129">
        <f t="shared" ref="AR11:AR14" si="8">(($V11*AI11)/SUM($AW11:$AX11))*12</f>
        <v>9.3380952380952387</v>
      </c>
      <c r="AS11" s="41">
        <v>11</v>
      </c>
      <c r="AT11" s="248" t="s">
        <v>138</v>
      </c>
      <c r="AU11" s="46">
        <v>20</v>
      </c>
      <c r="AV11" s="139" t="s">
        <v>845</v>
      </c>
      <c r="AW11" s="99">
        <v>126000</v>
      </c>
      <c r="AX11" s="140" t="s">
        <v>846</v>
      </c>
      <c r="AY11" s="375">
        <v>30818</v>
      </c>
      <c r="AZ11" s="378" t="s">
        <v>847</v>
      </c>
      <c r="BA11" s="378" t="s">
        <v>847</v>
      </c>
    </row>
    <row r="12" spans="1:62" ht="15" customHeight="1">
      <c r="A12" s="194" t="s">
        <v>848</v>
      </c>
      <c r="B12" s="98" t="s">
        <v>849</v>
      </c>
      <c r="C12" s="330" t="s">
        <v>850</v>
      </c>
      <c r="D12" s="190" t="s">
        <v>851</v>
      </c>
      <c r="E12" s="42" t="s">
        <v>852</v>
      </c>
      <c r="F12" s="42" t="s">
        <v>853</v>
      </c>
      <c r="G12" s="42" t="s">
        <v>708</v>
      </c>
      <c r="H12" s="42" t="s">
        <v>709</v>
      </c>
      <c r="I12" s="42" t="s">
        <v>278</v>
      </c>
      <c r="J12" s="42" t="s">
        <v>854</v>
      </c>
      <c r="K12" s="41">
        <v>577</v>
      </c>
      <c r="L12" s="163" t="s">
        <v>138</v>
      </c>
      <c r="M12" s="41">
        <v>3.34</v>
      </c>
      <c r="N12" s="41">
        <v>108</v>
      </c>
      <c r="O12" s="41" t="s">
        <v>138</v>
      </c>
      <c r="P12" s="41">
        <v>286</v>
      </c>
      <c r="Q12" s="42" t="s">
        <v>855</v>
      </c>
      <c r="R12" s="53">
        <v>0.38</v>
      </c>
      <c r="S12" s="163" t="s">
        <v>138</v>
      </c>
      <c r="T12" s="41">
        <v>286</v>
      </c>
      <c r="U12" s="42" t="s">
        <v>153</v>
      </c>
      <c r="V12" s="42">
        <v>36</v>
      </c>
      <c r="W12" s="188" t="s">
        <v>856</v>
      </c>
      <c r="X12" s="42" t="s">
        <v>141</v>
      </c>
      <c r="Y12" s="42" t="s">
        <v>138</v>
      </c>
      <c r="Z12" s="98" t="s">
        <v>857</v>
      </c>
      <c r="AA12" s="42" t="s">
        <v>141</v>
      </c>
      <c r="AB12" s="190" t="s">
        <v>858</v>
      </c>
      <c r="AC12" s="42" t="s">
        <v>138</v>
      </c>
      <c r="AD12" s="42" t="s">
        <v>138</v>
      </c>
      <c r="AE12" s="42" t="s">
        <v>138</v>
      </c>
      <c r="AF12" s="42" t="s">
        <v>138</v>
      </c>
      <c r="AG12" s="105">
        <v>875</v>
      </c>
      <c r="AH12" s="105">
        <v>875</v>
      </c>
      <c r="AI12" s="105">
        <v>875</v>
      </c>
      <c r="AJ12" s="105">
        <v>31500</v>
      </c>
      <c r="AK12" s="105">
        <v>31500</v>
      </c>
      <c r="AL12" s="105">
        <v>31500</v>
      </c>
      <c r="AM12" s="98" t="s">
        <v>859</v>
      </c>
      <c r="AN12" s="42" t="s">
        <v>138</v>
      </c>
      <c r="AO12" s="42" t="s">
        <v>138</v>
      </c>
      <c r="AP12" s="129">
        <f t="shared" si="6"/>
        <v>2.9076923076923076</v>
      </c>
      <c r="AQ12" s="129">
        <f t="shared" si="7"/>
        <v>2.9076923076923076</v>
      </c>
      <c r="AR12" s="129">
        <f t="shared" si="8"/>
        <v>2.9076923076923076</v>
      </c>
      <c r="AS12" s="41">
        <v>20</v>
      </c>
      <c r="AT12" s="248" t="s">
        <v>138</v>
      </c>
      <c r="AU12" s="250" t="s">
        <v>138</v>
      </c>
      <c r="AV12" s="139" t="s">
        <v>138</v>
      </c>
      <c r="AW12" s="99">
        <v>130000</v>
      </c>
      <c r="AX12" s="140" t="s">
        <v>138</v>
      </c>
      <c r="AY12" s="375">
        <v>31500</v>
      </c>
      <c r="AZ12" s="375">
        <v>31500</v>
      </c>
      <c r="BA12" s="375">
        <v>31500</v>
      </c>
    </row>
    <row r="13" spans="1:62" ht="15" customHeight="1">
      <c r="A13" s="194" t="s">
        <v>860</v>
      </c>
      <c r="B13" s="98" t="s">
        <v>861</v>
      </c>
      <c r="C13" s="330" t="s">
        <v>862</v>
      </c>
      <c r="D13" s="190" t="s">
        <v>863</v>
      </c>
      <c r="E13" s="42" t="s">
        <v>864</v>
      </c>
      <c r="F13" s="42" t="s">
        <v>231</v>
      </c>
      <c r="G13" s="42" t="s">
        <v>708</v>
      </c>
      <c r="H13" s="42" t="s">
        <v>709</v>
      </c>
      <c r="I13" s="42" t="s">
        <v>310</v>
      </c>
      <c r="J13" s="42" t="s">
        <v>278</v>
      </c>
      <c r="K13" s="42" t="s">
        <v>138</v>
      </c>
      <c r="L13" s="79" t="s">
        <v>138</v>
      </c>
      <c r="M13" s="41">
        <v>3.22</v>
      </c>
      <c r="N13" s="41">
        <v>132</v>
      </c>
      <c r="O13" s="41">
        <v>37</v>
      </c>
      <c r="P13" s="42" t="s">
        <v>138</v>
      </c>
      <c r="Q13" s="102">
        <v>0.21</v>
      </c>
      <c r="R13" s="102">
        <v>0.33</v>
      </c>
      <c r="S13" s="102">
        <v>0.48</v>
      </c>
      <c r="T13" s="42" t="s">
        <v>865</v>
      </c>
      <c r="U13" s="42" t="s">
        <v>545</v>
      </c>
      <c r="V13" s="42">
        <v>72</v>
      </c>
      <c r="W13" s="188" t="s">
        <v>866</v>
      </c>
      <c r="X13" s="42" t="s">
        <v>141</v>
      </c>
      <c r="Y13" s="174" t="s">
        <v>867</v>
      </c>
      <c r="Z13" s="98" t="s">
        <v>868</v>
      </c>
      <c r="AA13" s="42" t="s">
        <v>141</v>
      </c>
      <c r="AB13" s="190" t="s">
        <v>869</v>
      </c>
      <c r="AC13" s="42" t="s">
        <v>141</v>
      </c>
      <c r="AD13" s="42" t="s">
        <v>138</v>
      </c>
      <c r="AE13" s="98" t="s">
        <v>870</v>
      </c>
      <c r="AF13" s="42" t="s">
        <v>138</v>
      </c>
      <c r="AG13" s="105">
        <v>363</v>
      </c>
      <c r="AH13" s="105">
        <v>363</v>
      </c>
      <c r="AI13" s="105">
        <v>363</v>
      </c>
      <c r="AJ13" s="105">
        <v>26136</v>
      </c>
      <c r="AK13" s="105">
        <v>26136</v>
      </c>
      <c r="AL13" s="105">
        <v>26136</v>
      </c>
      <c r="AM13" s="98" t="s">
        <v>871</v>
      </c>
      <c r="AN13" s="42" t="s">
        <v>138</v>
      </c>
      <c r="AO13" s="42" t="s">
        <v>138</v>
      </c>
      <c r="AP13" s="129">
        <f t="shared" si="6"/>
        <v>3.1840812182741116</v>
      </c>
      <c r="AQ13" s="129">
        <f t="shared" si="7"/>
        <v>3.1840812182741116</v>
      </c>
      <c r="AR13" s="129">
        <f t="shared" si="8"/>
        <v>3.1840812182741116</v>
      </c>
      <c r="AS13" s="246" t="s">
        <v>138</v>
      </c>
      <c r="AT13" s="248" t="s">
        <v>138</v>
      </c>
      <c r="AU13" s="250" t="s">
        <v>138</v>
      </c>
      <c r="AV13" s="139" t="s">
        <v>138</v>
      </c>
      <c r="AW13" s="99">
        <v>98500</v>
      </c>
      <c r="AX13" s="140" t="s">
        <v>138</v>
      </c>
      <c r="AY13" s="375">
        <v>27288</v>
      </c>
      <c r="AZ13" s="375">
        <v>27288</v>
      </c>
      <c r="BA13" s="375">
        <v>27288</v>
      </c>
    </row>
    <row r="14" spans="1:62" ht="15" customHeight="1">
      <c r="A14" s="194" t="s">
        <v>872</v>
      </c>
      <c r="B14" s="98" t="s">
        <v>873</v>
      </c>
      <c r="C14" s="330" t="s">
        <v>874</v>
      </c>
      <c r="D14" s="190" t="s">
        <v>875</v>
      </c>
      <c r="E14" s="42" t="s">
        <v>876</v>
      </c>
      <c r="F14" s="42" t="s">
        <v>137</v>
      </c>
      <c r="G14" s="42" t="s">
        <v>836</v>
      </c>
      <c r="H14" s="42" t="s">
        <v>877</v>
      </c>
      <c r="I14" s="42" t="s">
        <v>278</v>
      </c>
      <c r="J14" s="42" t="s">
        <v>278</v>
      </c>
      <c r="K14" s="42">
        <v>500</v>
      </c>
      <c r="L14" s="79" t="s">
        <v>138</v>
      </c>
      <c r="M14" s="41">
        <v>3.33</v>
      </c>
      <c r="N14" s="41">
        <v>76</v>
      </c>
      <c r="O14" s="42" t="s">
        <v>138</v>
      </c>
      <c r="P14" s="42">
        <v>194</v>
      </c>
      <c r="Q14" s="42" t="s">
        <v>138</v>
      </c>
      <c r="R14" s="42">
        <v>31.5</v>
      </c>
      <c r="S14" s="41">
        <v>97.67</v>
      </c>
      <c r="T14" s="41">
        <v>194</v>
      </c>
      <c r="U14" s="42">
        <v>30</v>
      </c>
      <c r="V14" s="42">
        <v>38</v>
      </c>
      <c r="W14" s="188" t="s">
        <v>878</v>
      </c>
      <c r="X14" s="42" t="s">
        <v>141</v>
      </c>
      <c r="Y14" s="174" t="s">
        <v>879</v>
      </c>
      <c r="Z14" s="98" t="s">
        <v>880</v>
      </c>
      <c r="AA14" s="42" t="s">
        <v>141</v>
      </c>
      <c r="AB14" s="98" t="s">
        <v>881</v>
      </c>
      <c r="AC14" s="42" t="s">
        <v>138</v>
      </c>
      <c r="AD14" s="42" t="s">
        <v>138</v>
      </c>
      <c r="AE14" s="42" t="s">
        <v>138</v>
      </c>
      <c r="AF14" s="42" t="s">
        <v>310</v>
      </c>
      <c r="AG14" s="99">
        <v>975</v>
      </c>
      <c r="AH14" s="99">
        <v>975</v>
      </c>
      <c r="AI14" s="99">
        <v>975</v>
      </c>
      <c r="AJ14" s="105">
        <v>37200</v>
      </c>
      <c r="AK14" s="105">
        <v>37200</v>
      </c>
      <c r="AL14" s="105">
        <v>37200</v>
      </c>
      <c r="AM14" s="98" t="s">
        <v>882</v>
      </c>
      <c r="AN14" s="42" t="s">
        <v>138</v>
      </c>
      <c r="AO14" s="42" t="s">
        <v>138</v>
      </c>
      <c r="AP14" s="129">
        <f t="shared" si="6"/>
        <v>7.535593220338983</v>
      </c>
      <c r="AQ14" s="129">
        <f t="shared" si="7"/>
        <v>7.535593220338983</v>
      </c>
      <c r="AR14" s="129">
        <f t="shared" si="8"/>
        <v>7.535593220338983</v>
      </c>
      <c r="AS14" s="163" t="s">
        <v>138</v>
      </c>
      <c r="AT14" s="248" t="s">
        <v>138</v>
      </c>
      <c r="AU14" s="250" t="s">
        <v>138</v>
      </c>
      <c r="AV14" s="139" t="s">
        <v>138</v>
      </c>
      <c r="AW14" s="99">
        <v>59000</v>
      </c>
      <c r="AX14" s="140" t="s">
        <v>138</v>
      </c>
      <c r="AY14" s="375">
        <v>37000</v>
      </c>
      <c r="AZ14" s="375">
        <v>37000</v>
      </c>
      <c r="BA14" s="375">
        <v>37000</v>
      </c>
    </row>
    <row r="15" spans="1:62" ht="15" customHeight="1">
      <c r="A15" s="194" t="s">
        <v>883</v>
      </c>
      <c r="B15" s="98" t="s">
        <v>884</v>
      </c>
      <c r="C15" s="330" t="s">
        <v>885</v>
      </c>
      <c r="D15" s="190" t="s">
        <v>886</v>
      </c>
      <c r="E15" s="42" t="s">
        <v>887</v>
      </c>
      <c r="F15" s="42" t="s">
        <v>137</v>
      </c>
      <c r="G15" s="42" t="s">
        <v>888</v>
      </c>
      <c r="H15" s="42" t="s">
        <v>889</v>
      </c>
      <c r="I15" s="42" t="s">
        <v>310</v>
      </c>
      <c r="J15" s="42" t="s">
        <v>890</v>
      </c>
      <c r="K15" s="42">
        <v>528</v>
      </c>
      <c r="L15" s="79" t="s">
        <v>138</v>
      </c>
      <c r="M15" s="41">
        <v>3.31</v>
      </c>
      <c r="N15" s="41" t="s">
        <v>138</v>
      </c>
      <c r="O15" s="42" t="s">
        <v>138</v>
      </c>
      <c r="P15" s="42">
        <v>59</v>
      </c>
      <c r="Q15" s="42" t="s">
        <v>138</v>
      </c>
      <c r="R15" s="42">
        <v>50.8</v>
      </c>
      <c r="S15" s="163" t="s">
        <v>138</v>
      </c>
      <c r="T15" s="41">
        <v>59</v>
      </c>
      <c r="U15" s="42">
        <v>12</v>
      </c>
      <c r="V15" s="42">
        <v>30</v>
      </c>
      <c r="W15" s="188" t="s">
        <v>891</v>
      </c>
      <c r="X15" s="42" t="s">
        <v>141</v>
      </c>
      <c r="Y15" s="163" t="s">
        <v>138</v>
      </c>
      <c r="Z15" s="98" t="s">
        <v>892</v>
      </c>
      <c r="AA15" s="42" t="s">
        <v>141</v>
      </c>
      <c r="AB15" s="98" t="s">
        <v>893</v>
      </c>
      <c r="AC15" s="42" t="s">
        <v>138</v>
      </c>
      <c r="AD15" s="42" t="s">
        <v>138</v>
      </c>
      <c r="AE15" s="42" t="s">
        <v>138</v>
      </c>
      <c r="AF15" s="42" t="s">
        <v>138</v>
      </c>
      <c r="AG15" s="105">
        <v>465</v>
      </c>
      <c r="AH15" s="105">
        <v>785</v>
      </c>
      <c r="AI15" s="105">
        <v>820.86666666669998</v>
      </c>
      <c r="AJ15" s="105">
        <v>13950</v>
      </c>
      <c r="AK15" s="105">
        <v>23550</v>
      </c>
      <c r="AL15" s="105">
        <v>24626</v>
      </c>
      <c r="AM15" s="98" t="s">
        <v>894</v>
      </c>
      <c r="AN15" s="42" t="s">
        <v>138</v>
      </c>
      <c r="AO15" s="138" t="s">
        <v>138</v>
      </c>
      <c r="AP15" s="138" t="s">
        <v>138</v>
      </c>
      <c r="AQ15" s="138" t="s">
        <v>138</v>
      </c>
      <c r="AR15" s="138" t="s">
        <v>138</v>
      </c>
      <c r="AS15" s="41">
        <v>128</v>
      </c>
      <c r="AT15" s="248" t="s">
        <v>138</v>
      </c>
      <c r="AU15" s="250" t="s">
        <v>138</v>
      </c>
      <c r="AV15" s="139" t="s">
        <v>138</v>
      </c>
      <c r="AW15" s="42" t="s">
        <v>138</v>
      </c>
      <c r="AX15" s="140" t="s">
        <v>138</v>
      </c>
      <c r="AY15" s="375">
        <v>13950</v>
      </c>
      <c r="AZ15" s="375">
        <v>13950</v>
      </c>
      <c r="BA15" s="375">
        <v>13950</v>
      </c>
    </row>
    <row r="16" spans="1:62" ht="15" customHeight="1">
      <c r="A16" s="194" t="s">
        <v>895</v>
      </c>
      <c r="B16" s="98" t="s">
        <v>896</v>
      </c>
      <c r="C16" s="330" t="s">
        <v>874</v>
      </c>
      <c r="D16" s="190" t="s">
        <v>897</v>
      </c>
      <c r="E16" s="42" t="s">
        <v>898</v>
      </c>
      <c r="F16" s="42" t="s">
        <v>137</v>
      </c>
      <c r="G16" s="42" t="s">
        <v>888</v>
      </c>
      <c r="H16" s="42" t="s">
        <v>889</v>
      </c>
      <c r="I16" s="42" t="s">
        <v>310</v>
      </c>
      <c r="J16" s="42" t="s">
        <v>899</v>
      </c>
      <c r="K16" s="42" t="s">
        <v>138</v>
      </c>
      <c r="L16" s="79" t="s">
        <v>138</v>
      </c>
      <c r="M16" s="42">
        <v>3</v>
      </c>
      <c r="N16" s="42" t="s">
        <v>138</v>
      </c>
      <c r="O16" s="42" t="s">
        <v>138</v>
      </c>
      <c r="P16" s="42" t="s">
        <v>138</v>
      </c>
      <c r="Q16" s="42" t="s">
        <v>138</v>
      </c>
      <c r="R16" s="42" t="s">
        <v>138</v>
      </c>
      <c r="S16" s="42" t="s">
        <v>900</v>
      </c>
      <c r="T16" s="42" t="s">
        <v>901</v>
      </c>
      <c r="U16" s="97">
        <v>24</v>
      </c>
      <c r="V16" s="42">
        <v>30</v>
      </c>
      <c r="W16" s="188" t="s">
        <v>140</v>
      </c>
      <c r="X16" s="42" t="s">
        <v>141</v>
      </c>
      <c r="Y16" s="163" t="s">
        <v>138</v>
      </c>
      <c r="Z16" s="98" t="s">
        <v>902</v>
      </c>
      <c r="AA16" s="42" t="s">
        <v>141</v>
      </c>
      <c r="AB16" s="98" t="s">
        <v>903</v>
      </c>
      <c r="AC16" s="42" t="s">
        <v>138</v>
      </c>
      <c r="AD16" s="42" t="s">
        <v>138</v>
      </c>
      <c r="AE16" s="42" t="s">
        <v>138</v>
      </c>
      <c r="AF16" s="42" t="s">
        <v>310</v>
      </c>
      <c r="AG16" s="105">
        <v>575</v>
      </c>
      <c r="AH16" s="105">
        <v>575</v>
      </c>
      <c r="AI16" s="105">
        <v>575</v>
      </c>
      <c r="AJ16" s="105">
        <v>17250</v>
      </c>
      <c r="AK16" s="105">
        <v>17250</v>
      </c>
      <c r="AL16" s="105">
        <v>17250</v>
      </c>
      <c r="AM16" s="98" t="s">
        <v>894</v>
      </c>
      <c r="AN16" s="42" t="s">
        <v>138</v>
      </c>
      <c r="AO16" s="138" t="s">
        <v>138</v>
      </c>
      <c r="AP16" s="138" t="s">
        <v>138</v>
      </c>
      <c r="AQ16" s="138" t="s">
        <v>138</v>
      </c>
      <c r="AR16" s="138" t="s">
        <v>138</v>
      </c>
      <c r="AS16" s="163" t="s">
        <v>138</v>
      </c>
      <c r="AT16" s="248" t="s">
        <v>138</v>
      </c>
      <c r="AU16" s="250" t="s">
        <v>138</v>
      </c>
      <c r="AV16" s="139">
        <v>99.3</v>
      </c>
      <c r="AW16" s="42" t="s">
        <v>138</v>
      </c>
      <c r="AX16" s="140" t="s">
        <v>138</v>
      </c>
      <c r="AY16" s="375">
        <v>17250</v>
      </c>
      <c r="AZ16" s="375">
        <v>17250</v>
      </c>
      <c r="BA16" s="375">
        <v>17250</v>
      </c>
    </row>
    <row r="17" spans="1:53" ht="15" customHeight="1">
      <c r="A17" s="194" t="s">
        <v>238</v>
      </c>
      <c r="B17" s="98" t="s">
        <v>904</v>
      </c>
      <c r="C17" s="330" t="s">
        <v>905</v>
      </c>
      <c r="D17" s="190" t="s">
        <v>906</v>
      </c>
      <c r="E17" s="42" t="s">
        <v>242</v>
      </c>
      <c r="F17" s="42" t="s">
        <v>137</v>
      </c>
      <c r="G17" s="42" t="s">
        <v>907</v>
      </c>
      <c r="H17" s="42" t="s">
        <v>889</v>
      </c>
      <c r="I17" s="42" t="s">
        <v>278</v>
      </c>
      <c r="J17" s="42" t="s">
        <v>310</v>
      </c>
      <c r="K17" s="163" t="s">
        <v>138</v>
      </c>
      <c r="L17" s="163" t="s">
        <v>138</v>
      </c>
      <c r="M17" s="163" t="s">
        <v>138</v>
      </c>
      <c r="N17" s="41" t="s">
        <v>138</v>
      </c>
      <c r="O17" s="42" t="s">
        <v>138</v>
      </c>
      <c r="P17" s="42" t="s">
        <v>138</v>
      </c>
      <c r="Q17" s="42" t="s">
        <v>138</v>
      </c>
      <c r="R17" s="42" t="s">
        <v>908</v>
      </c>
      <c r="S17" s="41" t="s">
        <v>138</v>
      </c>
      <c r="T17" s="163" t="s">
        <v>138</v>
      </c>
      <c r="U17" s="42">
        <v>24</v>
      </c>
      <c r="V17" s="42">
        <v>36</v>
      </c>
      <c r="W17" s="188" t="s">
        <v>140</v>
      </c>
      <c r="X17" s="42" t="s">
        <v>138</v>
      </c>
      <c r="Y17" s="163" t="s">
        <v>138</v>
      </c>
      <c r="Z17" s="42" t="s">
        <v>138</v>
      </c>
      <c r="AA17" s="42" t="s">
        <v>141</v>
      </c>
      <c r="AB17" s="190" t="s">
        <v>909</v>
      </c>
      <c r="AC17" s="42" t="s">
        <v>138</v>
      </c>
      <c r="AD17" s="42" t="s">
        <v>138</v>
      </c>
      <c r="AE17" s="42" t="s">
        <v>138</v>
      </c>
      <c r="AF17" s="42" t="s">
        <v>138</v>
      </c>
      <c r="AG17" s="105">
        <v>464</v>
      </c>
      <c r="AH17" s="105">
        <v>1269</v>
      </c>
      <c r="AI17" s="105">
        <v>1269</v>
      </c>
      <c r="AJ17" s="105">
        <v>16704</v>
      </c>
      <c r="AK17" s="105">
        <v>45684</v>
      </c>
      <c r="AL17" s="105">
        <v>45684</v>
      </c>
      <c r="AM17" s="42" t="s">
        <v>138</v>
      </c>
      <c r="AN17" s="42" t="s">
        <v>138</v>
      </c>
      <c r="AO17" s="138" t="s">
        <v>138</v>
      </c>
      <c r="AP17" s="138" t="s">
        <v>138</v>
      </c>
      <c r="AQ17" s="138" t="s">
        <v>138</v>
      </c>
      <c r="AR17" s="138" t="s">
        <v>138</v>
      </c>
      <c r="AS17" s="41">
        <v>16</v>
      </c>
      <c r="AT17" s="248" t="s">
        <v>138</v>
      </c>
      <c r="AU17" s="250" t="s">
        <v>138</v>
      </c>
      <c r="AV17" s="139" t="s">
        <v>138</v>
      </c>
      <c r="AW17" s="42" t="s">
        <v>138</v>
      </c>
      <c r="AX17" s="140" t="s">
        <v>138</v>
      </c>
      <c r="AY17" s="375">
        <v>28066</v>
      </c>
      <c r="AZ17" s="375">
        <v>34090</v>
      </c>
      <c r="BA17" s="375">
        <v>34090</v>
      </c>
    </row>
    <row r="18" spans="1:53" ht="15" customHeight="1">
      <c r="A18" s="194" t="s">
        <v>910</v>
      </c>
      <c r="B18" s="98" t="s">
        <v>911</v>
      </c>
      <c r="C18" s="330" t="s">
        <v>912</v>
      </c>
      <c r="D18" s="190" t="s">
        <v>913</v>
      </c>
      <c r="E18" s="42" t="s">
        <v>914</v>
      </c>
      <c r="F18" s="42" t="s">
        <v>214</v>
      </c>
      <c r="G18" s="42" t="s">
        <v>761</v>
      </c>
      <c r="H18" s="42" t="s">
        <v>877</v>
      </c>
      <c r="I18" s="42" t="s">
        <v>310</v>
      </c>
      <c r="J18" s="42" t="s">
        <v>915</v>
      </c>
      <c r="K18" s="42">
        <v>670</v>
      </c>
      <c r="L18" s="79" t="s">
        <v>138</v>
      </c>
      <c r="M18" s="42">
        <v>3.53</v>
      </c>
      <c r="N18" s="41" t="s">
        <v>916</v>
      </c>
      <c r="O18" s="41">
        <v>29</v>
      </c>
      <c r="P18" s="42" t="s">
        <v>917</v>
      </c>
      <c r="Q18" s="53">
        <v>0.44</v>
      </c>
      <c r="R18" s="53">
        <v>0.53</v>
      </c>
      <c r="S18" s="53">
        <v>0.18</v>
      </c>
      <c r="T18" s="42" t="s">
        <v>138</v>
      </c>
      <c r="U18" s="42" t="s">
        <v>153</v>
      </c>
      <c r="V18" s="42">
        <v>48</v>
      </c>
      <c r="W18" s="188" t="s">
        <v>918</v>
      </c>
      <c r="X18" s="42" t="s">
        <v>141</v>
      </c>
      <c r="Y18" s="163" t="s">
        <v>138</v>
      </c>
      <c r="Z18" s="98" t="s">
        <v>919</v>
      </c>
      <c r="AA18" s="42" t="s">
        <v>141</v>
      </c>
      <c r="AB18" s="190" t="s">
        <v>920</v>
      </c>
      <c r="AC18" s="42" t="s">
        <v>138</v>
      </c>
      <c r="AD18" s="42" t="s">
        <v>138</v>
      </c>
      <c r="AE18" s="42" t="s">
        <v>138</v>
      </c>
      <c r="AF18" s="42" t="s">
        <v>310</v>
      </c>
      <c r="AG18" s="99">
        <v>1650</v>
      </c>
      <c r="AH18" s="99">
        <v>1650</v>
      </c>
      <c r="AI18" s="99">
        <v>1650</v>
      </c>
      <c r="AJ18" s="99">
        <v>79200</v>
      </c>
      <c r="AK18" s="99">
        <v>79200</v>
      </c>
      <c r="AL18" s="99">
        <v>79200</v>
      </c>
      <c r="AM18" s="98" t="s">
        <v>921</v>
      </c>
      <c r="AN18" s="42" t="s">
        <v>138</v>
      </c>
      <c r="AO18" s="138" t="s">
        <v>138</v>
      </c>
      <c r="AP18" s="129">
        <f>(($V18*AG18)/SUM($AW18:$AX18))*12</f>
        <v>6.5460406234717983</v>
      </c>
      <c r="AQ18" s="129">
        <f t="shared" ref="AQ18" si="9">(($V18*AH18)/SUM($AW18:$AX18))*12</f>
        <v>6.5460406234717983</v>
      </c>
      <c r="AR18" s="129">
        <f t="shared" ref="AR18" si="10">(($V18*AI18)/SUM($AW18:$AX18))*12</f>
        <v>6.5460406234717983</v>
      </c>
      <c r="AS18" s="163" t="s">
        <v>138</v>
      </c>
      <c r="AT18" s="248" t="s">
        <v>138</v>
      </c>
      <c r="AU18" s="250" t="s">
        <v>138</v>
      </c>
      <c r="AV18" s="233">
        <v>0.59699999999999998</v>
      </c>
      <c r="AW18" s="99">
        <v>117687</v>
      </c>
      <c r="AX18" s="353">
        <v>27500</v>
      </c>
      <c r="AY18" s="375">
        <v>79200</v>
      </c>
      <c r="AZ18" s="375">
        <v>79200</v>
      </c>
      <c r="BA18" s="375">
        <v>79200</v>
      </c>
    </row>
    <row r="19" spans="1:53" ht="15" customHeight="1">
      <c r="A19" s="194" t="s">
        <v>560</v>
      </c>
      <c r="B19" s="98" t="s">
        <v>922</v>
      </c>
      <c r="C19" s="330" t="s">
        <v>923</v>
      </c>
      <c r="D19" s="190" t="s">
        <v>924</v>
      </c>
      <c r="E19" s="42" t="s">
        <v>136</v>
      </c>
      <c r="F19" s="42" t="s">
        <v>137</v>
      </c>
      <c r="G19" s="42" t="s">
        <v>708</v>
      </c>
      <c r="H19" s="42" t="s">
        <v>925</v>
      </c>
      <c r="I19" s="42" t="s">
        <v>278</v>
      </c>
      <c r="J19" s="42" t="s">
        <v>278</v>
      </c>
      <c r="K19" s="42">
        <v>631</v>
      </c>
      <c r="L19" s="79" t="s">
        <v>138</v>
      </c>
      <c r="M19" s="42" t="s">
        <v>138</v>
      </c>
      <c r="N19" s="42" t="s">
        <v>926</v>
      </c>
      <c r="O19" s="42" t="s">
        <v>927</v>
      </c>
      <c r="P19" s="42" t="s">
        <v>138</v>
      </c>
      <c r="Q19" s="42" t="s">
        <v>138</v>
      </c>
      <c r="R19" s="42" t="s">
        <v>138</v>
      </c>
      <c r="S19" s="53">
        <v>1</v>
      </c>
      <c r="T19" s="42" t="s">
        <v>928</v>
      </c>
      <c r="U19" s="42">
        <v>24</v>
      </c>
      <c r="V19" s="42" t="s">
        <v>929</v>
      </c>
      <c r="W19" s="188" t="s">
        <v>930</v>
      </c>
      <c r="X19" s="42" t="s">
        <v>141</v>
      </c>
      <c r="Y19" s="163" t="s">
        <v>138</v>
      </c>
      <c r="Z19" s="98" t="s">
        <v>931</v>
      </c>
      <c r="AA19" s="42" t="s">
        <v>141</v>
      </c>
      <c r="AB19" s="190" t="s">
        <v>932</v>
      </c>
      <c r="AC19" s="42" t="s">
        <v>141</v>
      </c>
      <c r="AD19" s="41" t="s">
        <v>138</v>
      </c>
      <c r="AE19" s="98" t="s">
        <v>933</v>
      </c>
      <c r="AF19" s="42" t="s">
        <v>138</v>
      </c>
      <c r="AG19" s="99">
        <v>437</v>
      </c>
      <c r="AH19" s="99">
        <v>485</v>
      </c>
      <c r="AI19" s="99">
        <v>485</v>
      </c>
      <c r="AJ19" s="42" t="s">
        <v>934</v>
      </c>
      <c r="AK19" s="42" t="s">
        <v>935</v>
      </c>
      <c r="AL19" s="42" t="s">
        <v>935</v>
      </c>
      <c r="AM19" s="98" t="s">
        <v>936</v>
      </c>
      <c r="AN19" s="42" t="s">
        <v>138</v>
      </c>
      <c r="AO19" s="138" t="s">
        <v>278</v>
      </c>
      <c r="AP19" s="129">
        <f>((60*AG19)/SUM($AW19:$AX19))*12</f>
        <v>4.3578947368421055</v>
      </c>
      <c r="AQ19" s="129">
        <f t="shared" ref="AQ19:AR19" si="11">((60*AH19)/SUM($AW19:$AX19))*12</f>
        <v>4.8365650969529081</v>
      </c>
      <c r="AR19" s="129">
        <f t="shared" si="11"/>
        <v>4.8365650969529081</v>
      </c>
      <c r="AS19" s="163" t="s">
        <v>138</v>
      </c>
      <c r="AT19" s="248" t="s">
        <v>138</v>
      </c>
      <c r="AU19" s="250" t="s">
        <v>138</v>
      </c>
      <c r="AV19" s="234">
        <v>0.94</v>
      </c>
      <c r="AW19" s="99">
        <v>72200</v>
      </c>
      <c r="AX19" s="140" t="s">
        <v>138</v>
      </c>
      <c r="AY19" s="105">
        <v>15696</v>
      </c>
      <c r="AZ19" s="105">
        <v>15696</v>
      </c>
      <c r="BA19" s="105">
        <v>15696</v>
      </c>
    </row>
    <row r="20" spans="1:53" ht="15" customHeight="1">
      <c r="A20" s="194" t="s">
        <v>251</v>
      </c>
      <c r="B20" s="98" t="s">
        <v>252</v>
      </c>
      <c r="C20" s="330" t="s">
        <v>937</v>
      </c>
      <c r="D20" s="190" t="s">
        <v>938</v>
      </c>
      <c r="E20" s="42" t="s">
        <v>939</v>
      </c>
      <c r="F20" s="42" t="s">
        <v>256</v>
      </c>
      <c r="G20" s="42" t="s">
        <v>907</v>
      </c>
      <c r="H20" s="42" t="s">
        <v>889</v>
      </c>
      <c r="I20" s="42" t="s">
        <v>310</v>
      </c>
      <c r="J20" s="42" t="s">
        <v>854</v>
      </c>
      <c r="K20" s="41">
        <v>588</v>
      </c>
      <c r="L20" s="79" t="s">
        <v>138</v>
      </c>
      <c r="M20" s="41">
        <v>3.53</v>
      </c>
      <c r="N20" s="41" t="s">
        <v>940</v>
      </c>
      <c r="O20" s="41">
        <v>32</v>
      </c>
      <c r="P20" s="42" t="s">
        <v>941</v>
      </c>
      <c r="Q20" s="42" t="s">
        <v>138</v>
      </c>
      <c r="R20" s="41">
        <v>38</v>
      </c>
      <c r="S20" s="41">
        <v>93.55</v>
      </c>
      <c r="T20" s="41" t="s">
        <v>942</v>
      </c>
      <c r="U20" s="42" t="s">
        <v>943</v>
      </c>
      <c r="V20" s="42">
        <v>45</v>
      </c>
      <c r="W20" s="188" t="s">
        <v>944</v>
      </c>
      <c r="X20" s="42" t="s">
        <v>141</v>
      </c>
      <c r="Y20" s="174" t="s">
        <v>938</v>
      </c>
      <c r="Z20" s="98" t="s">
        <v>945</v>
      </c>
      <c r="AA20" s="42" t="s">
        <v>141</v>
      </c>
      <c r="AB20" s="190" t="s">
        <v>946</v>
      </c>
      <c r="AC20" s="42" t="s">
        <v>141</v>
      </c>
      <c r="AD20" s="190" t="s">
        <v>947</v>
      </c>
      <c r="AE20" s="98" t="s">
        <v>948</v>
      </c>
      <c r="AF20" s="42" t="s">
        <v>138</v>
      </c>
      <c r="AG20" s="105">
        <v>2250</v>
      </c>
      <c r="AH20" s="105">
        <v>2250</v>
      </c>
      <c r="AI20" s="105">
        <v>2250</v>
      </c>
      <c r="AJ20" s="105">
        <v>33750</v>
      </c>
      <c r="AK20" s="105">
        <v>33750</v>
      </c>
      <c r="AL20" s="105">
        <v>33750</v>
      </c>
      <c r="AM20" s="98" t="s">
        <v>949</v>
      </c>
      <c r="AN20" s="99">
        <v>250</v>
      </c>
      <c r="AO20" s="138" t="s">
        <v>310</v>
      </c>
      <c r="AP20" s="138" t="s">
        <v>138</v>
      </c>
      <c r="AQ20" s="138" t="s">
        <v>138</v>
      </c>
      <c r="AR20" s="138" t="s">
        <v>138</v>
      </c>
      <c r="AS20" s="41">
        <v>25</v>
      </c>
      <c r="AT20" s="248" t="s">
        <v>138</v>
      </c>
      <c r="AU20" s="250" t="s">
        <v>138</v>
      </c>
      <c r="AV20" s="139" t="s">
        <v>138</v>
      </c>
      <c r="AW20" s="42" t="s">
        <v>950</v>
      </c>
      <c r="AX20" s="140" t="s">
        <v>138</v>
      </c>
      <c r="AY20" s="375">
        <v>33750</v>
      </c>
      <c r="AZ20" s="375">
        <v>33750</v>
      </c>
      <c r="BA20" s="375">
        <v>33750</v>
      </c>
    </row>
    <row r="22" spans="1:53" ht="15" customHeight="1">
      <c r="A22"/>
      <c r="AA22" s="235"/>
      <c r="AB22" s="235"/>
      <c r="AC22" s="235"/>
    </row>
    <row r="23" spans="1:53" ht="15" customHeight="1">
      <c r="AA23" s="235"/>
      <c r="AB23" s="235"/>
      <c r="AC23" s="235"/>
    </row>
    <row r="24" spans="1:53" ht="15" customHeight="1">
      <c r="A24" s="237" t="s">
        <v>951</v>
      </c>
      <c r="AA24" s="235"/>
      <c r="AB24" s="235"/>
      <c r="AC24" s="235"/>
    </row>
    <row r="25" spans="1:53" ht="15" customHeight="1">
      <c r="AA25" s="235"/>
      <c r="AB25" s="235"/>
      <c r="AC25" s="235"/>
    </row>
    <row r="26" spans="1:53" ht="15" customHeight="1">
      <c r="A26" s="304"/>
      <c r="AA26" s="235"/>
      <c r="AB26" s="235"/>
      <c r="AC26" s="235"/>
    </row>
    <row r="27" spans="1:53" ht="15" customHeight="1">
      <c r="AA27" s="235"/>
      <c r="AB27" s="235"/>
      <c r="AC27" s="236"/>
    </row>
    <row r="28" spans="1:53" ht="15" customHeight="1">
      <c r="AA28" s="235"/>
      <c r="AB28" s="235"/>
      <c r="AC28" s="236"/>
    </row>
    <row r="29" spans="1:53" ht="15" customHeight="1">
      <c r="AA29" s="235"/>
      <c r="AB29" s="235"/>
      <c r="AC29" s="235"/>
    </row>
    <row r="30" spans="1:53" ht="15" customHeight="1">
      <c r="AA30" s="235"/>
      <c r="AB30" s="235"/>
      <c r="AC30" s="235"/>
    </row>
    <row r="31" spans="1:53" ht="15" customHeight="1">
      <c r="AA31" s="235"/>
      <c r="AB31" s="235"/>
      <c r="AC31" s="236"/>
    </row>
    <row r="32" spans="1:53" ht="15" customHeight="1">
      <c r="AA32" s="235"/>
      <c r="AB32" s="235"/>
      <c r="AC32" s="235"/>
    </row>
    <row r="33" spans="27:29" ht="15" customHeight="1">
      <c r="AA33" s="235"/>
      <c r="AB33" s="235"/>
      <c r="AC33" s="236"/>
    </row>
    <row r="34" spans="27:29" ht="15" customHeight="1">
      <c r="AA34" s="235"/>
      <c r="AB34" s="235"/>
      <c r="AC34" s="236"/>
    </row>
    <row r="35" spans="27:29" ht="15" customHeight="1">
      <c r="AA35" s="235"/>
      <c r="AB35" s="235"/>
      <c r="AC35" s="235"/>
    </row>
    <row r="36" spans="27:29" ht="15" customHeight="1">
      <c r="AA36" s="235"/>
      <c r="AB36" s="235"/>
      <c r="AC36" s="235"/>
    </row>
    <row r="37" spans="27:29" ht="15" customHeight="1">
      <c r="AA37" s="235"/>
      <c r="AB37" s="235"/>
      <c r="AC37" s="235"/>
    </row>
    <row r="38" spans="27:29" ht="15" customHeight="1">
      <c r="AA38" s="235"/>
      <c r="AB38" s="235"/>
      <c r="AC38" s="236"/>
    </row>
    <row r="39" spans="27:29" ht="15" customHeight="1">
      <c r="AA39" s="235"/>
      <c r="AB39" s="235"/>
      <c r="AC39" s="236"/>
    </row>
    <row r="40" spans="27:29" ht="15" customHeight="1">
      <c r="AA40" s="235"/>
      <c r="AB40" s="235"/>
      <c r="AC40" s="236"/>
    </row>
    <row r="41" spans="27:29" ht="15" customHeight="1">
      <c r="AA41" s="235"/>
      <c r="AB41" s="235"/>
      <c r="AC41" s="236"/>
    </row>
  </sheetData>
  <hyperlinks>
    <hyperlink ref="D3" r:id="rId1" xr:uid="{4D678256-E02A-4D60-9905-5038AB969053}"/>
    <hyperlink ref="D4" r:id="rId2" xr:uid="{C8ACB8AF-185D-4063-8344-6D05CD8801B8}"/>
    <hyperlink ref="D6" r:id="rId3" xr:uid="{71DBE48C-1524-4A33-8030-7C78B6B72720}"/>
    <hyperlink ref="D7" r:id="rId4" xr:uid="{EC265FE3-84D1-469B-BCEC-E304543A0F5E}"/>
    <hyperlink ref="D8" r:id="rId5" xr:uid="{44286237-01A9-4E30-AF6C-DDAA38CDE793}"/>
    <hyperlink ref="D9" r:id="rId6" xr:uid="{F6793037-E672-4F5A-BC8C-75DBFAB04A6C}"/>
    <hyperlink ref="D10" r:id="rId7" xr:uid="{2E5578C7-2903-442B-9335-6ECF97550422}"/>
    <hyperlink ref="D11" r:id="rId8" xr:uid="{79BCC087-4798-4F7F-B9EB-52915453E61C}"/>
    <hyperlink ref="D19" r:id="rId9" xr:uid="{AB2A0783-4969-4FA6-8BA8-F35D9D44DD63}"/>
    <hyperlink ref="D20" r:id="rId10" xr:uid="{F82D0B60-BA3A-4C4C-8D61-C6468DCF2A91}"/>
    <hyperlink ref="D13" r:id="rId11" xr:uid="{782ED8FC-1505-473E-8DBA-E6D1B7D4A5C8}"/>
    <hyperlink ref="D12" r:id="rId12" xr:uid="{44FCAA68-3F52-4D85-BA65-D29A8BEFBC96}"/>
    <hyperlink ref="D14" r:id="rId13" xr:uid="{A2D2661C-ED0E-47D5-9BB4-AE00BBC7ABD9}"/>
    <hyperlink ref="D15" r:id="rId14" xr:uid="{1345C0F6-FD20-42FA-9C33-2827F633AC00}"/>
    <hyperlink ref="D16" r:id="rId15" xr:uid="{FA824D11-AB3A-4761-AF5A-997B55FA4CB0}"/>
    <hyperlink ref="D17" r:id="rId16" xr:uid="{5DACD53E-7C44-4070-8F5C-1FEF2C2493B1}"/>
    <hyperlink ref="D18" r:id="rId17" xr:uid="{C0C1523B-67E7-434D-BF66-374645201E68}"/>
    <hyperlink ref="D2" r:id="rId18" xr:uid="{9DFD061D-E8B3-4342-9E2F-E331BA9AEABB}"/>
    <hyperlink ref="AD7" r:id="rId19" xr:uid="{D27C73B8-5F67-489A-986F-3E85D493FC25}"/>
    <hyperlink ref="K3" r:id="rId20" display="661" xr:uid="{DF89656F-905F-415E-A661-AACA5C9B1C72}"/>
    <hyperlink ref="K5" r:id="rId21" display="583" xr:uid="{A7B5C6BA-F564-4FBB-84EF-BDF27BF30753}"/>
    <hyperlink ref="K6" r:id="rId22" display="678" xr:uid="{9A1A4ED3-308A-4940-BC8E-64EDB270ED9F}"/>
    <hyperlink ref="K7" r:id="rId23" display="644" xr:uid="{9C90AE4E-7B10-4117-9420-13C609CF1373}"/>
    <hyperlink ref="K9" r:id="rId24" display="580" xr:uid="{9D57E733-DCC4-48AA-BE89-D307C58D30C0}"/>
    <hyperlink ref="AU2:AU20" r:id="rId25" display="-" xr:uid="{AB36B37C-EBA4-4CF2-85A2-50E04F1984D8}"/>
    <hyperlink ref="AJ3:AL3" r:id="rId26" display="$94,944 " xr:uid="{3447C8E7-742B-4925-B0E9-8F95944CAC65}"/>
    <hyperlink ref="AJ4:AL4" r:id="rId27" display="$125,589 " xr:uid="{D6274BE0-F93C-4182-886C-E2AAD4668EC6}"/>
    <hyperlink ref="AJ6:AL6" r:id="rId28" display="$147,648 " xr:uid="{C670B339-258F-4699-B46B-5BDE683FD50D}"/>
    <hyperlink ref="AJ7:AL7" r:id="rId29" display="$96,000 " xr:uid="{4A8956FB-86FB-4E4E-A5AB-CA0ED51B71EA}"/>
    <hyperlink ref="AJ9:AL9" r:id="rId30" display="$51,525 " xr:uid="{19A47943-EC75-45F2-A61A-60C57602C35E}"/>
    <hyperlink ref="AJ8:AL8" r:id="rId31" display="$57,800 " xr:uid="{D42ED7F5-F158-48DC-BF6D-8D0EB1173BE4}"/>
    <hyperlink ref="AJ11:AL11" r:id="rId32" display="$58,108 " xr:uid="{7A7972B1-FDAC-498F-8C84-7962C825A40D}"/>
    <hyperlink ref="AJ12:AL12" r:id="rId33" display="$31,500 " xr:uid="{250B61DE-AEAA-42AD-9C63-8EE97415EEB9}"/>
    <hyperlink ref="AJ15:AL15" r:id="rId34" display="$13,950 " xr:uid="{D614223E-D2D6-42B8-85A7-457A195FDA78}"/>
    <hyperlink ref="AJ16:AL16" r:id="rId35" display="$17,250 " xr:uid="{09282C6E-EAD1-4FE4-9700-EF563C303C0C}"/>
    <hyperlink ref="AJ17:AL17" r:id="rId36" display="$16,704 " xr:uid="{2739EEAB-63DB-428C-BB0A-887E3F911357}"/>
    <hyperlink ref="AJ20:AL20" r:id="rId37" display="$33,750 " xr:uid="{108846A3-5B81-498F-8068-F63A84623EFE}"/>
    <hyperlink ref="AG13:AL13" r:id="rId38" display="$363 " xr:uid="{EE3C4AEA-2EFC-48A0-B1D3-7B41C44B165E}"/>
    <hyperlink ref="Y13" r:id="rId39" xr:uid="{BE4E3F1C-1FB7-4CBD-B61E-BD378C04A2A8}"/>
    <hyperlink ref="AJ14:AL14" r:id="rId40" display="$37,200 " xr:uid="{49991A0B-AE9D-4CF6-AAAD-8CEB22B4FDEF}"/>
    <hyperlink ref="Y3" r:id="rId41" xr:uid="{7F8545F8-43AA-45BE-AC03-1E343B5F11B7}"/>
    <hyperlink ref="AF2" r:id="rId42" xr:uid="{6F6DC797-196B-420D-9CED-AA47C197426E}"/>
    <hyperlink ref="AG2:AI2" r:id="rId43" display="$728 " xr:uid="{E724DB9C-B9B2-4EA1-8041-269F4EAABE30}"/>
    <hyperlink ref="L6" r:id="rId44" display="318" xr:uid="{526153B9-1FBC-4D93-BA19-70445F47FB29}"/>
    <hyperlink ref="M6" r:id="rId45" display="3.41" xr:uid="{D946B882-9296-40A5-A9FA-39B8D280E488}"/>
    <hyperlink ref="N6" r:id="rId46" display="80" xr:uid="{474D1465-F784-4949-8AF1-D40EDC9CF48A}"/>
    <hyperlink ref="O6" r:id="rId47" display="31" xr:uid="{160E8E52-5AA5-4225-8A84-4F9305CF204B}"/>
    <hyperlink ref="P6" r:id="rId48" display="316" xr:uid="{6457F3AF-1F81-4497-8403-9D443A49694D}"/>
    <hyperlink ref="Q6" r:id="rId49" display="12%" xr:uid="{9D52AF36-F6FB-47CE-8881-0D187005967D}"/>
    <hyperlink ref="R6" r:id="rId50" display="30%" xr:uid="{3D5CD76C-3DEF-4E85-884A-EAD63949FEEC}"/>
    <hyperlink ref="Y4" r:id="rId51" xr:uid="{B2A8FB28-2B73-4B94-849A-845C80A1BF9A}"/>
    <hyperlink ref="Y11" r:id="rId52" xr:uid="{7FF98DA8-0C3B-445F-87F8-CE8AE0A10340}"/>
    <hyperlink ref="AB2" r:id="rId53" xr:uid="{69732F7D-93A8-49E4-811A-970900A9F9A2}"/>
    <hyperlink ref="AB4" r:id="rId54" xr:uid="{19ED8623-D47C-40A8-AC8D-7E8D155B204B}"/>
    <hyperlink ref="AB5" r:id="rId55" xr:uid="{2D866317-625C-4EC7-9CCE-5CBE6B8AE534}"/>
    <hyperlink ref="AB6" r:id="rId56" xr:uid="{897C081B-D469-4857-8FFC-BD1819FE6202}"/>
    <hyperlink ref="AB7" r:id="rId57" xr:uid="{7ECC1DF0-F8BD-417A-B067-4815EBAAC2E9}"/>
    <hyperlink ref="AB8" r:id="rId58" xr:uid="{EB910E85-F2D0-41AE-9635-EE7E66222A8D}"/>
    <hyperlink ref="AB9" r:id="rId59" xr:uid="{958AC1BA-0E85-45DC-999C-CC1C78B9B09C}"/>
    <hyperlink ref="AB12" r:id="rId60" xr:uid="{54110547-CC2E-4D64-9BAB-8CBD0458F80A}"/>
    <hyperlink ref="AB10" r:id="rId61" xr:uid="{7400243A-D187-4C8C-87CB-33AF40CFA37A}"/>
    <hyperlink ref="AB13" r:id="rId62" xr:uid="{7D5810E7-926C-492E-9A20-920005D5A07E}"/>
    <hyperlink ref="AB18" r:id="rId63" xr:uid="{B7336299-66DE-4CB6-A30E-9CE6BFB14634}"/>
    <hyperlink ref="AB19" r:id="rId64" xr:uid="{D432479C-CFA5-4721-B7B9-23416C2D0C2F}"/>
    <hyperlink ref="AB17" r:id="rId65" xr:uid="{F653240A-8902-4551-8557-0A501853ADFD}"/>
    <hyperlink ref="AB20" r:id="rId66" xr:uid="{C16B2404-39E1-4F7A-A48F-2EDF277157D7}"/>
    <hyperlink ref="AD2" r:id="rId67" xr:uid="{C0D8D752-EFA6-4F66-8609-389E92356D9B}"/>
    <hyperlink ref="AD11" r:id="rId68" xr:uid="{FA61A49C-6BFD-4EB4-8493-EB9FAB5647F0}"/>
    <hyperlink ref="AD20" r:id="rId69" xr:uid="{53EBDF32-C056-413D-9411-C16220D91FE2}"/>
    <hyperlink ref="AS3:AS9" r:id="rId70" display="1" xr:uid="{21FB5A9F-335B-4DEB-BCE2-FBAA932CD583}"/>
    <hyperlink ref="AS11:AS12" r:id="rId71" display="11" xr:uid="{464D2D54-950C-462A-9004-A353CF17FEAE}"/>
    <hyperlink ref="AS15" r:id="rId72" display="128" xr:uid="{E4740850-56B3-4F5C-A3FF-A06A52F5735D}"/>
    <hyperlink ref="AS17" r:id="rId73" display="16" xr:uid="{9D8A2825-076C-4665-B79A-DF9774D6DA03}"/>
    <hyperlink ref="AS20" r:id="rId74" display="25" xr:uid="{5675DCA2-87D2-451E-92EB-59DD476D2551}"/>
    <hyperlink ref="AS3:AS10" r:id="rId75" display="1" xr:uid="{8205057B-64B6-4C9B-86E5-6B1EA5FA5FE8}"/>
    <hyperlink ref="AY3:BA3" r:id="rId76" display="$94,944 " xr:uid="{2B53B024-C61F-4535-8A2A-CBEACE8772C3}"/>
    <hyperlink ref="AY4:BA4" r:id="rId77" display="$125,589 " xr:uid="{C7C2E477-426C-480D-8BBC-92F8BD3DF1DD}"/>
    <hyperlink ref="D5" r:id="rId78" xr:uid="{9C2D961A-1B66-4CA4-AEB9-6FB0D68FC66D}"/>
    <hyperlink ref="AY5:BA5" r:id="rId79" display="$150,771 " xr:uid="{04EEF3F3-D3A4-4C7F-9643-2D56764E7EFA}"/>
    <hyperlink ref="AY6:BA6" r:id="rId80" location=":~:text=You%20can%20earn%20a%20Carnegie%20Mellon%20MBA,that%20strengthen%20your%20network%20and%20leadership%20skills." display="$145,000 to $150,000" xr:uid="{8AB4AC49-AA07-44F1-91A3-B7DD6258E9EB}"/>
    <hyperlink ref="AY7:BA7" r:id="rId81" display="$102,000 " xr:uid="{ECA30E6E-1840-48D1-A49F-38458780B769}"/>
    <hyperlink ref="AY8:BA8" r:id="rId82" display="$74,000 " xr:uid="{AD4AB9E2-F39F-4F7F-9187-5A00AC6CFF48}"/>
    <hyperlink ref="AY9:BA9" r:id="rId83" display="$56,250 " xr:uid="{C99F69B3-BE26-41F5-86D6-F30E8724BFCF}"/>
    <hyperlink ref="AY10:BA10" r:id="rId84" location="tuition" display="$78,000 " xr:uid="{4E5E871F-DD39-4415-9433-4D577B9B62CB}"/>
    <hyperlink ref="AY11:BA11" r:id="rId85" display="$30,818 " xr:uid="{10581F4C-08F7-454B-9F21-9B5D30749E94}"/>
    <hyperlink ref="AY12:BA12" r:id="rId86" display="$31,500 " xr:uid="{7F5FA94A-ACA9-4806-B754-6D4AEAC2ACBB}"/>
    <hyperlink ref="AY13:BA13" r:id="rId87" display="$27,288 " xr:uid="{FDE87520-3F23-4019-A60D-BCBE27B4BBDC}"/>
    <hyperlink ref="AY14:BA14" r:id="rId88" display="$37,000 " xr:uid="{BE2EE77B-AEC3-4D7E-A205-337D840F1CAC}"/>
    <hyperlink ref="AY15:BA15" r:id="rId89" display="$13,950 " xr:uid="{7927CC7F-F0A5-4291-9B8C-904A5108BE6E}"/>
    <hyperlink ref="AY16:BA16" r:id="rId90" display="$17,250 " xr:uid="{F970F010-B58A-4881-9869-FE6FF3F4A980}"/>
    <hyperlink ref="AY17:BA17" r:id="rId91" location="accordion_graduatestudent" display="$28,066 " xr:uid="{F42BE202-9F32-45E5-A078-4A2CA09E739D}"/>
    <hyperlink ref="AY18:BA18" r:id="rId92" display="$79,200 " xr:uid="{F8B5FD32-1C92-44DE-A37B-09DCDFE1BB3A}"/>
    <hyperlink ref="AY19:BA19" r:id="rId93" display="$15,696 " xr:uid="{5168A731-39C3-4F96-9775-3604A5786C96}"/>
    <hyperlink ref="AY20:BA20" r:id="rId94" display="$33,750 " xr:uid="{8FE628B4-76E0-4B62-B563-E6A0DEB3D4B5}"/>
  </hyperlinks>
  <pageMargins left="0.7" right="0.7" top="0.75" bottom="0.75" header="0.3" footer="0.3"/>
  <legacyDrawing r:id="rId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AB4C-C0CA-43C4-BC29-2DA6EB4594C6}">
  <sheetPr>
    <tabColor rgb="FFFFFF00"/>
  </sheetPr>
  <dimension ref="A1:BM7"/>
  <sheetViews>
    <sheetView tabSelected="1" zoomScale="150" workbookViewId="0">
      <pane xSplit="1" ySplit="1" topLeftCell="BG2" activePane="bottomRight" state="frozen"/>
      <selection pane="bottomRight" activeCell="BK7" sqref="BK7:BM7"/>
      <selection pane="bottomLeft"/>
      <selection pane="topRight"/>
    </sheetView>
  </sheetViews>
  <sheetFormatPr defaultColWidth="8.85546875" defaultRowHeight="15"/>
  <cols>
    <col min="1" max="1" width="37.7109375" bestFit="1" customWidth="1"/>
    <col min="2" max="2" width="29.85546875" customWidth="1"/>
    <col min="3" max="3" width="49" customWidth="1"/>
    <col min="4" max="4" width="15.42578125" customWidth="1"/>
    <col min="5" max="5" width="18.140625" bestFit="1" customWidth="1"/>
    <col min="6" max="6" width="14.85546875" bestFit="1" customWidth="1"/>
    <col min="7" max="7" width="14.42578125" bestFit="1" customWidth="1"/>
    <col min="8" max="8" width="17.7109375" customWidth="1"/>
    <col min="9" max="9" width="26.85546875" bestFit="1" customWidth="1"/>
    <col min="10" max="10" width="22.85546875" customWidth="1"/>
    <col min="11" max="11" width="19.7109375" bestFit="1" customWidth="1"/>
    <col min="12" max="12" width="9.28515625" bestFit="1" customWidth="1"/>
    <col min="13" max="13" width="13.7109375" customWidth="1"/>
    <col min="15" max="15" width="16.7109375" customWidth="1"/>
    <col min="16" max="16" width="16.42578125" customWidth="1"/>
    <col min="17" max="17" width="20" bestFit="1" customWidth="1"/>
    <col min="18" max="18" width="12.140625" bestFit="1" customWidth="1"/>
    <col min="19" max="19" width="27.42578125" customWidth="1"/>
    <col min="20" max="20" width="16.28515625" customWidth="1"/>
    <col min="21" max="21" width="27.42578125" customWidth="1"/>
    <col min="22" max="22" width="25" customWidth="1"/>
    <col min="23" max="23" width="36.42578125" customWidth="1"/>
    <col min="24" max="24" width="32.28515625" customWidth="1"/>
    <col min="25" max="25" width="29.42578125" customWidth="1"/>
    <col min="26" max="26" width="40.42578125" customWidth="1"/>
    <col min="27" max="27" width="28.28515625" customWidth="1"/>
    <col min="28" max="28" width="25.140625" customWidth="1"/>
    <col min="29" max="29" width="36.140625" customWidth="1"/>
    <col min="30" max="30" width="47.28515625" customWidth="1"/>
    <col min="31" max="31" width="44.140625" customWidth="1"/>
    <col min="32" max="32" width="84.28515625" customWidth="1"/>
    <col min="33" max="34" width="55.140625" customWidth="1"/>
    <col min="35" max="35" width="45.42578125" customWidth="1"/>
    <col min="36" max="38" width="55.140625" customWidth="1"/>
    <col min="39" max="39" width="35" customWidth="1"/>
    <col min="40" max="40" width="24.140625" bestFit="1" customWidth="1"/>
    <col min="41" max="41" width="28.42578125" bestFit="1" customWidth="1"/>
    <col min="42" max="42" width="28.85546875" bestFit="1" customWidth="1"/>
    <col min="43" max="43" width="19.7109375" bestFit="1" customWidth="1"/>
    <col min="44" max="44" width="24" bestFit="1" customWidth="1"/>
    <col min="45" max="45" width="24.42578125" bestFit="1" customWidth="1"/>
    <col min="46" max="46" width="37.7109375" bestFit="1" customWidth="1"/>
    <col min="47" max="47" width="41.85546875" bestFit="1" customWidth="1"/>
    <col min="48" max="48" width="42.42578125" bestFit="1" customWidth="1"/>
    <col min="49" max="49" width="23.85546875" customWidth="1"/>
    <col min="50" max="50" width="43.140625" customWidth="1"/>
    <col min="51" max="51" width="51" customWidth="1"/>
    <col min="52" max="52" width="15.42578125" customWidth="1"/>
    <col min="53" max="53" width="15.140625" customWidth="1"/>
    <col min="54" max="54" width="17.85546875" customWidth="1"/>
    <col min="55" max="55" width="24.42578125" customWidth="1"/>
    <col min="56" max="56" width="11.7109375" customWidth="1"/>
    <col min="57" max="57" width="15.42578125" customWidth="1"/>
    <col min="58" max="58" width="22.28515625" customWidth="1"/>
    <col min="59" max="59" width="23.7109375" bestFit="1" customWidth="1"/>
    <col min="60" max="60" width="13.28515625" bestFit="1" customWidth="1"/>
    <col min="61" max="61" width="17" bestFit="1" customWidth="1"/>
    <col min="62" max="62" width="17.85546875" bestFit="1" customWidth="1"/>
    <col min="63" max="63" width="26" bestFit="1" customWidth="1"/>
    <col min="64" max="64" width="30.140625" bestFit="1" customWidth="1"/>
    <col min="65" max="65" width="30.7109375" bestFit="1" customWidth="1"/>
    <col min="66" max="66" width="20.28515625" customWidth="1"/>
  </cols>
  <sheetData>
    <row r="1" spans="1:65" s="36" customFormat="1">
      <c r="A1" s="67" t="s">
        <v>4</v>
      </c>
      <c r="B1" s="67" t="s">
        <v>117</v>
      </c>
      <c r="C1" s="67" t="s">
        <v>7</v>
      </c>
      <c r="D1" s="67" t="s">
        <v>11</v>
      </c>
      <c r="E1" s="67" t="s">
        <v>82</v>
      </c>
      <c r="F1" s="67" t="s">
        <v>83</v>
      </c>
      <c r="G1" s="67" t="s">
        <v>84</v>
      </c>
      <c r="H1" s="67" t="s">
        <v>85</v>
      </c>
      <c r="I1" s="67" t="s">
        <v>14</v>
      </c>
      <c r="J1" s="67" t="s">
        <v>86</v>
      </c>
      <c r="K1" s="67" t="s">
        <v>20</v>
      </c>
      <c r="L1" s="67" t="s">
        <v>21</v>
      </c>
      <c r="M1" s="67" t="s">
        <v>25</v>
      </c>
      <c r="N1" s="67" t="s">
        <v>27</v>
      </c>
      <c r="O1" s="67" t="s">
        <v>28</v>
      </c>
      <c r="P1" s="68" t="s">
        <v>30</v>
      </c>
      <c r="Q1" s="67" t="s">
        <v>118</v>
      </c>
      <c r="R1" s="67" t="s">
        <v>38</v>
      </c>
      <c r="S1" s="67" t="s">
        <v>119</v>
      </c>
      <c r="T1" s="67" t="s">
        <v>952</v>
      </c>
      <c r="U1" s="67" t="s">
        <v>953</v>
      </c>
      <c r="V1" s="67" t="s">
        <v>954</v>
      </c>
      <c r="W1" s="67" t="s">
        <v>955</v>
      </c>
      <c r="X1" s="67" t="s">
        <v>956</v>
      </c>
      <c r="Y1" s="67" t="s">
        <v>957</v>
      </c>
      <c r="Z1" s="67" t="s">
        <v>958</v>
      </c>
      <c r="AA1" s="67" t="s">
        <v>959</v>
      </c>
      <c r="AB1" s="67" t="s">
        <v>960</v>
      </c>
      <c r="AC1" s="67" t="s">
        <v>961</v>
      </c>
      <c r="AD1" s="67" t="s">
        <v>87</v>
      </c>
      <c r="AE1" s="67" t="s">
        <v>962</v>
      </c>
      <c r="AF1" s="67" t="s">
        <v>89</v>
      </c>
      <c r="AG1" s="67" t="s">
        <v>963</v>
      </c>
      <c r="AH1" s="67" t="s">
        <v>964</v>
      </c>
      <c r="AI1" s="67" t="s">
        <v>965</v>
      </c>
      <c r="AJ1" s="67" t="s">
        <v>269</v>
      </c>
      <c r="AK1" s="67" t="s">
        <v>270</v>
      </c>
      <c r="AL1" s="67" t="s">
        <v>966</v>
      </c>
      <c r="AM1" s="67" t="s">
        <v>967</v>
      </c>
      <c r="AN1" s="67" t="s">
        <v>94</v>
      </c>
      <c r="AO1" s="67" t="s">
        <v>95</v>
      </c>
      <c r="AP1" s="67" t="s">
        <v>96</v>
      </c>
      <c r="AQ1" s="67" t="s">
        <v>97</v>
      </c>
      <c r="AR1" s="67" t="s">
        <v>98</v>
      </c>
      <c r="AS1" s="67" t="s">
        <v>99</v>
      </c>
      <c r="AT1" s="183" t="s">
        <v>126</v>
      </c>
      <c r="AU1" s="67" t="s">
        <v>127</v>
      </c>
      <c r="AV1" s="67" t="s">
        <v>128</v>
      </c>
      <c r="AW1" s="67" t="s">
        <v>968</v>
      </c>
      <c r="AX1" s="67" t="s">
        <v>68</v>
      </c>
      <c r="AY1" s="67" t="s">
        <v>70</v>
      </c>
      <c r="AZ1" s="67" t="s">
        <v>74</v>
      </c>
      <c r="BA1" s="67" t="s">
        <v>76</v>
      </c>
      <c r="BB1" s="67" t="s">
        <v>62</v>
      </c>
      <c r="BC1" s="67" t="s">
        <v>64</v>
      </c>
      <c r="BD1" s="67" t="s">
        <v>101</v>
      </c>
      <c r="BE1" s="67" t="s">
        <v>102</v>
      </c>
      <c r="BF1" s="67" t="s">
        <v>69</v>
      </c>
      <c r="BG1" s="67" t="s">
        <v>71</v>
      </c>
      <c r="BH1" s="36" t="s">
        <v>969</v>
      </c>
      <c r="BI1" s="36" t="s">
        <v>970</v>
      </c>
      <c r="BJ1" s="36" t="s">
        <v>971</v>
      </c>
      <c r="BK1" s="347" t="s">
        <v>129</v>
      </c>
      <c r="BL1" s="347" t="s">
        <v>130</v>
      </c>
      <c r="BM1" s="347" t="s">
        <v>131</v>
      </c>
    </row>
    <row r="2" spans="1:65" s="37" customFormat="1">
      <c r="A2" s="67" t="s">
        <v>132</v>
      </c>
      <c r="B2" s="71" t="s">
        <v>133</v>
      </c>
      <c r="C2" s="71" t="s">
        <v>972</v>
      </c>
      <c r="D2" s="72" t="s">
        <v>973</v>
      </c>
      <c r="E2" s="57" t="s">
        <v>136</v>
      </c>
      <c r="F2" s="57" t="s">
        <v>137</v>
      </c>
      <c r="G2" s="63">
        <v>614</v>
      </c>
      <c r="H2" s="57" t="s">
        <v>138</v>
      </c>
      <c r="I2" s="41">
        <v>3.51</v>
      </c>
      <c r="J2" s="253" t="s">
        <v>974</v>
      </c>
      <c r="K2" s="57">
        <v>25</v>
      </c>
      <c r="L2" s="42" t="s">
        <v>975</v>
      </c>
      <c r="M2" s="53">
        <v>0.2</v>
      </c>
      <c r="N2" s="102">
        <v>0.46</v>
      </c>
      <c r="O2" s="57" t="s">
        <v>139</v>
      </c>
      <c r="P2" s="165">
        <v>10</v>
      </c>
      <c r="Q2" s="63" t="s">
        <v>976</v>
      </c>
      <c r="R2" s="57">
        <v>30</v>
      </c>
      <c r="S2" s="254" t="s">
        <v>977</v>
      </c>
      <c r="T2" s="72" t="s">
        <v>978</v>
      </c>
      <c r="U2" s="57" t="s">
        <v>141</v>
      </c>
      <c r="V2" s="142" t="s">
        <v>979</v>
      </c>
      <c r="W2" s="255" t="s">
        <v>980</v>
      </c>
      <c r="X2" s="256" t="s">
        <v>141</v>
      </c>
      <c r="Y2" s="257" t="s">
        <v>979</v>
      </c>
      <c r="Z2" s="143" t="s">
        <v>981</v>
      </c>
      <c r="AA2" s="256" t="s">
        <v>141</v>
      </c>
      <c r="AB2" s="144" t="s">
        <v>979</v>
      </c>
      <c r="AC2" s="143" t="s">
        <v>982</v>
      </c>
      <c r="AD2" s="57" t="s">
        <v>141</v>
      </c>
      <c r="AE2" s="144" t="s">
        <v>979</v>
      </c>
      <c r="AF2" s="71" t="s">
        <v>983</v>
      </c>
      <c r="AG2" s="63" t="s">
        <v>141</v>
      </c>
      <c r="AH2" s="72" t="s">
        <v>984</v>
      </c>
      <c r="AI2" s="63" t="s">
        <v>985</v>
      </c>
      <c r="AJ2" s="63" t="s">
        <v>141</v>
      </c>
      <c r="AK2" s="72" t="s">
        <v>986</v>
      </c>
      <c r="AL2" s="63" t="s">
        <v>139</v>
      </c>
      <c r="AM2" s="63" t="s">
        <v>138</v>
      </c>
      <c r="AN2" s="259">
        <v>600</v>
      </c>
      <c r="AO2" s="259">
        <v>1150</v>
      </c>
      <c r="AP2" s="259">
        <v>1300</v>
      </c>
      <c r="AQ2" s="259">
        <v>18000</v>
      </c>
      <c r="AR2" s="259">
        <v>34500</v>
      </c>
      <c r="AS2" s="260">
        <v>39000</v>
      </c>
      <c r="AT2" s="185">
        <f>(AQ2/(SUM($BF2:$BG2)))*12</f>
        <v>3.2347919849043043</v>
      </c>
      <c r="AU2" s="185">
        <f>(AR2/(SUM($BF$2:$BG$2)))*12</f>
        <v>6.2000179710665826</v>
      </c>
      <c r="AV2" s="185">
        <f>(AS2/(SUM($BF$2:$BG$2)))*12</f>
        <v>7.0087159672926589</v>
      </c>
      <c r="AW2" s="57" t="s">
        <v>141</v>
      </c>
      <c r="AX2" s="57" t="s">
        <v>138</v>
      </c>
      <c r="AY2" s="57" t="s">
        <v>138</v>
      </c>
      <c r="AZ2" s="57" t="s">
        <v>138</v>
      </c>
      <c r="BA2" s="160">
        <v>50000</v>
      </c>
      <c r="BB2" s="63" t="s">
        <v>138</v>
      </c>
      <c r="BC2" s="64">
        <v>2</v>
      </c>
      <c r="BD2" s="64" t="s">
        <v>987</v>
      </c>
      <c r="BE2" s="63">
        <v>92</v>
      </c>
      <c r="BF2" s="263">
        <v>63456</v>
      </c>
      <c r="BG2" s="324">
        <v>3318</v>
      </c>
      <c r="BH2" s="342">
        <f>($BF$2-(AQ2+$BA$2))/(AQ2+$BA$2)</f>
        <v>-6.6823529411764712E-2</v>
      </c>
      <c r="BI2" s="342">
        <f>($BF$2-(AR2+BA2))/(AR2+BA2)</f>
        <v>-0.24904142011834318</v>
      </c>
      <c r="BJ2" s="413">
        <f>($BF$2-(AS2+BA2))/(AS2+BA2)</f>
        <v>-0.28701123595505618</v>
      </c>
      <c r="BK2" s="414">
        <v>18000</v>
      </c>
      <c r="BL2" s="414">
        <v>34500</v>
      </c>
      <c r="BM2" s="414">
        <v>39000</v>
      </c>
    </row>
    <row r="3" spans="1:65">
      <c r="A3" s="67" t="s">
        <v>714</v>
      </c>
      <c r="B3" s="77" t="s">
        <v>233</v>
      </c>
      <c r="C3" s="77" t="s">
        <v>988</v>
      </c>
      <c r="D3" s="78" t="s">
        <v>989</v>
      </c>
      <c r="E3" s="42" t="s">
        <v>235</v>
      </c>
      <c r="F3" s="42" t="s">
        <v>137</v>
      </c>
      <c r="G3" s="42" t="s">
        <v>138</v>
      </c>
      <c r="H3" s="57" t="s">
        <v>138</v>
      </c>
      <c r="I3" s="41">
        <v>3.61</v>
      </c>
      <c r="J3" s="42" t="s">
        <v>138</v>
      </c>
      <c r="K3" s="42" t="s">
        <v>138</v>
      </c>
      <c r="L3" s="41">
        <v>50</v>
      </c>
      <c r="M3" s="102">
        <v>0.12</v>
      </c>
      <c r="N3" s="102">
        <v>0.26</v>
      </c>
      <c r="O3" s="42" t="s">
        <v>141</v>
      </c>
      <c r="P3" s="42">
        <v>12</v>
      </c>
      <c r="Q3" s="39" t="s">
        <v>990</v>
      </c>
      <c r="R3" s="42">
        <v>30</v>
      </c>
      <c r="S3" s="98" t="s">
        <v>991</v>
      </c>
      <c r="T3" s="145" t="s">
        <v>992</v>
      </c>
      <c r="U3" s="57" t="s">
        <v>141</v>
      </c>
      <c r="V3" s="145" t="s">
        <v>992</v>
      </c>
      <c r="W3" s="98" t="s">
        <v>993</v>
      </c>
      <c r="X3" s="39" t="s">
        <v>139</v>
      </c>
      <c r="Y3" s="39" t="s">
        <v>138</v>
      </c>
      <c r="Z3" s="42" t="s">
        <v>138</v>
      </c>
      <c r="AA3" s="39" t="s">
        <v>141</v>
      </c>
      <c r="AB3" s="145" t="s">
        <v>994</v>
      </c>
      <c r="AC3" s="77" t="s">
        <v>995</v>
      </c>
      <c r="AD3" s="42" t="s">
        <v>141</v>
      </c>
      <c r="AE3" s="145" t="s">
        <v>992</v>
      </c>
      <c r="AF3" s="77" t="s">
        <v>996</v>
      </c>
      <c r="AG3" s="39" t="s">
        <v>141</v>
      </c>
      <c r="AH3" s="78" t="s">
        <v>997</v>
      </c>
      <c r="AI3" s="39" t="s">
        <v>998</v>
      </c>
      <c r="AJ3" s="39" t="s">
        <v>141</v>
      </c>
      <c r="AK3" s="78" t="s">
        <v>999</v>
      </c>
      <c r="AL3" s="39" t="s">
        <v>139</v>
      </c>
      <c r="AM3" s="39" t="s">
        <v>138</v>
      </c>
      <c r="AN3" s="175">
        <v>834</v>
      </c>
      <c r="AO3" s="175">
        <v>1514</v>
      </c>
      <c r="AP3" s="175">
        <v>1514</v>
      </c>
      <c r="AQ3" s="175">
        <v>25020</v>
      </c>
      <c r="AR3" s="175">
        <v>45436</v>
      </c>
      <c r="AS3" s="261">
        <v>45436</v>
      </c>
      <c r="AT3" s="185">
        <f t="shared" ref="AT3:AT6" si="0">(AQ3/(SUM($BF3:$BG3)))*12</f>
        <v>3.9429516980537387</v>
      </c>
      <c r="AU3" s="185">
        <f t="shared" ref="AU3:AU6" si="1">(AR3/(SUM($BF$2:$BG$2)))*12</f>
        <v>8.1653338125617747</v>
      </c>
      <c r="AV3" s="185">
        <f t="shared" ref="AV3:AV6" si="2">(AS3/(SUM($BF$2:$BG$2)))*12</f>
        <v>8.1653338125617747</v>
      </c>
      <c r="AW3" s="42" t="s">
        <v>141</v>
      </c>
      <c r="AX3" s="42" t="s">
        <v>138</v>
      </c>
      <c r="AY3" s="42" t="s">
        <v>138</v>
      </c>
      <c r="AZ3" s="42">
        <v>-3.7</v>
      </c>
      <c r="BA3" s="166">
        <v>48712</v>
      </c>
      <c r="BB3" s="48">
        <v>10</v>
      </c>
      <c r="BC3" s="48">
        <v>13</v>
      </c>
      <c r="BD3" s="64" t="s">
        <v>987</v>
      </c>
      <c r="BE3" s="39">
        <v>100</v>
      </c>
      <c r="BF3" s="264">
        <v>73125</v>
      </c>
      <c r="BG3" s="325">
        <v>3021</v>
      </c>
      <c r="BH3" s="342">
        <f>($BF$3-(AQ3+$BA$3))/(AQ3+$BA$3)</f>
        <v>-8.2325177670482287E-3</v>
      </c>
      <c r="BI3" s="342">
        <f t="shared" ref="BI3:BJ3" si="3">($BF$3-(AR3+$BA$3))/(AR3+$BA$3)</f>
        <v>-0.2232973616008837</v>
      </c>
      <c r="BJ3" s="413">
        <f t="shared" si="3"/>
        <v>-0.2232973616008837</v>
      </c>
      <c r="BK3" s="348">
        <v>25038</v>
      </c>
      <c r="BL3" s="348">
        <v>45454</v>
      </c>
      <c r="BM3" s="348">
        <v>45454</v>
      </c>
    </row>
    <row r="4" spans="1:65">
      <c r="A4" s="67" t="s">
        <v>860</v>
      </c>
      <c r="B4" s="77" t="s">
        <v>861</v>
      </c>
      <c r="C4" s="77" t="s">
        <v>1000</v>
      </c>
      <c r="D4" s="78" t="s">
        <v>1001</v>
      </c>
      <c r="E4" s="42" t="s">
        <v>864</v>
      </c>
      <c r="F4" s="42" t="s">
        <v>231</v>
      </c>
      <c r="G4" s="42" t="s">
        <v>138</v>
      </c>
      <c r="H4" s="57" t="s">
        <v>138</v>
      </c>
      <c r="I4" s="42" t="s">
        <v>1002</v>
      </c>
      <c r="J4" s="42" t="s">
        <v>138</v>
      </c>
      <c r="K4" s="42" t="s">
        <v>138</v>
      </c>
      <c r="L4" s="42" t="s">
        <v>1002</v>
      </c>
      <c r="M4" s="42" t="s">
        <v>1002</v>
      </c>
      <c r="N4" s="42" t="s">
        <v>1002</v>
      </c>
      <c r="O4" s="42" t="s">
        <v>141</v>
      </c>
      <c r="P4" s="42">
        <v>12</v>
      </c>
      <c r="Q4" s="39" t="s">
        <v>1003</v>
      </c>
      <c r="R4" s="42">
        <v>32</v>
      </c>
      <c r="S4" s="98" t="s">
        <v>1004</v>
      </c>
      <c r="T4" s="145" t="s">
        <v>1005</v>
      </c>
      <c r="U4" s="57" t="s">
        <v>141</v>
      </c>
      <c r="V4" s="145" t="s">
        <v>1006</v>
      </c>
      <c r="W4" s="98" t="s">
        <v>1007</v>
      </c>
      <c r="X4" s="39" t="s">
        <v>139</v>
      </c>
      <c r="Y4" s="39" t="s">
        <v>138</v>
      </c>
      <c r="Z4" s="42" t="s">
        <v>138</v>
      </c>
      <c r="AA4" s="39" t="s">
        <v>139</v>
      </c>
      <c r="AB4" s="42" t="s">
        <v>138</v>
      </c>
      <c r="AC4" s="39" t="s">
        <v>138</v>
      </c>
      <c r="AD4" s="42" t="s">
        <v>141</v>
      </c>
      <c r="AE4" s="145" t="s">
        <v>1006</v>
      </c>
      <c r="AF4" s="77" t="s">
        <v>1008</v>
      </c>
      <c r="AG4" s="39" t="s">
        <v>141</v>
      </c>
      <c r="AH4" s="258" t="s">
        <v>1009</v>
      </c>
      <c r="AI4" s="39" t="s">
        <v>1010</v>
      </c>
      <c r="AJ4" s="39" t="s">
        <v>139</v>
      </c>
      <c r="AK4" s="39" t="s">
        <v>138</v>
      </c>
      <c r="AL4" s="39" t="s">
        <v>141</v>
      </c>
      <c r="AM4" s="78" t="s">
        <v>1011</v>
      </c>
      <c r="AN4" s="175">
        <v>1241</v>
      </c>
      <c r="AO4" s="175">
        <v>1241</v>
      </c>
      <c r="AP4" s="175">
        <v>1688</v>
      </c>
      <c r="AQ4" s="175">
        <v>39730</v>
      </c>
      <c r="AR4" s="175">
        <v>39730</v>
      </c>
      <c r="AS4" s="261">
        <v>54040</v>
      </c>
      <c r="AT4" s="185">
        <f t="shared" si="0"/>
        <v>7.3347692307692309</v>
      </c>
      <c r="AU4" s="185">
        <f t="shared" si="1"/>
        <v>7.1399047533471105</v>
      </c>
      <c r="AV4" s="185">
        <f t="shared" si="2"/>
        <v>9.7115643813460331</v>
      </c>
      <c r="AW4" s="42" t="s">
        <v>141</v>
      </c>
      <c r="AX4" s="42" t="s">
        <v>138</v>
      </c>
      <c r="AY4" s="42" t="s">
        <v>138</v>
      </c>
      <c r="AZ4" s="42">
        <v>-12.2</v>
      </c>
      <c r="BA4" s="166">
        <v>46318</v>
      </c>
      <c r="BB4" s="48">
        <v>3</v>
      </c>
      <c r="BC4" s="262" t="s">
        <v>138</v>
      </c>
      <c r="BD4" s="48">
        <v>48</v>
      </c>
      <c r="BE4" s="39">
        <v>100</v>
      </c>
      <c r="BF4" s="263">
        <v>65000</v>
      </c>
      <c r="BG4" s="325" t="s">
        <v>138</v>
      </c>
      <c r="BH4" s="342">
        <f>($BF$4-(AQ4+$BA$4))/(AQ4+$BA$4)</f>
        <v>-0.24460766084046115</v>
      </c>
      <c r="BI4" s="342">
        <f t="shared" ref="BI4:BJ4" si="4">($BF$4-(AR4+$BA$4))/(AR4+$BA$4)</f>
        <v>-0.24460766084046115</v>
      </c>
      <c r="BJ4" s="413">
        <f t="shared" si="4"/>
        <v>-0.35231869905737462</v>
      </c>
      <c r="BK4" s="348">
        <v>50867</v>
      </c>
      <c r="BL4" s="348">
        <v>50867</v>
      </c>
      <c r="BM4" s="348">
        <v>62027</v>
      </c>
    </row>
    <row r="5" spans="1:65">
      <c r="A5" s="67" t="s">
        <v>1012</v>
      </c>
      <c r="B5" s="77" t="s">
        <v>1013</v>
      </c>
      <c r="C5" s="77" t="s">
        <v>1014</v>
      </c>
      <c r="D5" s="78" t="s">
        <v>1015</v>
      </c>
      <c r="E5" s="42" t="s">
        <v>1016</v>
      </c>
      <c r="F5" s="42" t="s">
        <v>137</v>
      </c>
      <c r="G5" s="42" t="s">
        <v>138</v>
      </c>
      <c r="H5" s="57" t="s">
        <v>138</v>
      </c>
      <c r="I5" s="42" t="s">
        <v>1002</v>
      </c>
      <c r="J5" s="42" t="s">
        <v>138</v>
      </c>
      <c r="K5" s="42" t="s">
        <v>138</v>
      </c>
      <c r="L5" s="41">
        <v>68</v>
      </c>
      <c r="M5" s="102">
        <v>0.19</v>
      </c>
      <c r="N5" s="102">
        <v>0.51</v>
      </c>
      <c r="O5" s="42" t="s">
        <v>141</v>
      </c>
      <c r="P5" s="42">
        <v>10</v>
      </c>
      <c r="Q5" s="39" t="s">
        <v>1017</v>
      </c>
      <c r="R5" s="42">
        <v>30</v>
      </c>
      <c r="S5" s="98" t="s">
        <v>1018</v>
      </c>
      <c r="T5" s="145" t="s">
        <v>1019</v>
      </c>
      <c r="U5" s="57" t="s">
        <v>141</v>
      </c>
      <c r="V5" s="145" t="s">
        <v>1015</v>
      </c>
      <c r="W5" s="98" t="s">
        <v>1020</v>
      </c>
      <c r="X5" s="39" t="s">
        <v>139</v>
      </c>
      <c r="Y5" s="39" t="s">
        <v>138</v>
      </c>
      <c r="Z5" s="42" t="s">
        <v>138</v>
      </c>
      <c r="AA5" s="39" t="s">
        <v>139</v>
      </c>
      <c r="AB5" s="42" t="s">
        <v>138</v>
      </c>
      <c r="AC5" s="39" t="s">
        <v>138</v>
      </c>
      <c r="AD5" s="42" t="s">
        <v>141</v>
      </c>
      <c r="AE5" s="145" t="s">
        <v>1015</v>
      </c>
      <c r="AF5" s="77" t="s">
        <v>1021</v>
      </c>
      <c r="AG5" s="39" t="s">
        <v>141</v>
      </c>
      <c r="AH5" s="78" t="s">
        <v>1015</v>
      </c>
      <c r="AI5" s="39" t="s">
        <v>1022</v>
      </c>
      <c r="AJ5" s="39" t="s">
        <v>141</v>
      </c>
      <c r="AK5" s="78" t="s">
        <v>1015</v>
      </c>
      <c r="AL5" s="39" t="s">
        <v>139</v>
      </c>
      <c r="AM5" s="39" t="s">
        <v>138</v>
      </c>
      <c r="AN5" s="175">
        <v>1801</v>
      </c>
      <c r="AO5" s="175">
        <v>1801</v>
      </c>
      <c r="AP5" s="175">
        <v>1801</v>
      </c>
      <c r="AQ5" s="175">
        <v>54040</v>
      </c>
      <c r="AR5" s="175">
        <v>54040</v>
      </c>
      <c r="AS5" s="261">
        <v>54040</v>
      </c>
      <c r="AT5" s="185">
        <f t="shared" si="0"/>
        <v>8.6463999999999999</v>
      </c>
      <c r="AU5" s="185">
        <f t="shared" si="1"/>
        <v>9.7115643813460331</v>
      </c>
      <c r="AV5" s="185">
        <f t="shared" si="2"/>
        <v>9.7115643813460331</v>
      </c>
      <c r="AW5" s="42" t="s">
        <v>141</v>
      </c>
      <c r="AX5" s="42" t="s">
        <v>138</v>
      </c>
      <c r="AY5" s="42" t="s">
        <v>138</v>
      </c>
      <c r="AZ5" s="42">
        <v>-13.6</v>
      </c>
      <c r="BA5" s="166">
        <v>44168</v>
      </c>
      <c r="BB5" s="48">
        <v>29</v>
      </c>
      <c r="BC5" s="48">
        <v>30</v>
      </c>
      <c r="BD5" s="39" t="s">
        <v>138</v>
      </c>
      <c r="BE5" s="39">
        <v>100</v>
      </c>
      <c r="BF5" s="263">
        <v>75000</v>
      </c>
      <c r="BG5" s="325" t="s">
        <v>138</v>
      </c>
      <c r="BH5" s="342">
        <f>($BF$5-(AQ5+$BA$5))/(AQ5+$BA$5)</f>
        <v>-0.23631476050830891</v>
      </c>
      <c r="BI5" s="342">
        <f t="shared" ref="BI5:BJ5" si="5">($BF$5-(AR5+$BA$5))/(AR5+$BA$5)</f>
        <v>-0.23631476050830891</v>
      </c>
      <c r="BJ5" s="413">
        <f t="shared" si="5"/>
        <v>-0.23631476050830891</v>
      </c>
      <c r="BK5" s="348">
        <v>55660</v>
      </c>
      <c r="BL5" s="348">
        <v>55660</v>
      </c>
      <c r="BM5" s="348">
        <v>55660</v>
      </c>
    </row>
    <row r="6" spans="1:65">
      <c r="A6" s="67" t="s">
        <v>1023</v>
      </c>
      <c r="B6" s="77" t="s">
        <v>1024</v>
      </c>
      <c r="C6" s="77" t="s">
        <v>1025</v>
      </c>
      <c r="D6" s="78" t="s">
        <v>1026</v>
      </c>
      <c r="E6" s="42" t="s">
        <v>1027</v>
      </c>
      <c r="F6" s="42" t="s">
        <v>853</v>
      </c>
      <c r="G6" s="42" t="s">
        <v>138</v>
      </c>
      <c r="H6" s="57" t="s">
        <v>138</v>
      </c>
      <c r="I6" s="252">
        <v>3.63</v>
      </c>
      <c r="J6" s="42" t="s">
        <v>138</v>
      </c>
      <c r="K6" s="46">
        <v>22</v>
      </c>
      <c r="L6" s="41">
        <v>92</v>
      </c>
      <c r="M6" s="163" t="s">
        <v>138</v>
      </c>
      <c r="N6" s="102">
        <v>0.46</v>
      </c>
      <c r="O6" s="42" t="s">
        <v>141</v>
      </c>
      <c r="P6" s="42">
        <v>12</v>
      </c>
      <c r="Q6" s="39" t="s">
        <v>1028</v>
      </c>
      <c r="R6" s="42">
        <v>30</v>
      </c>
      <c r="S6" s="98" t="s">
        <v>1029</v>
      </c>
      <c r="T6" s="145" t="s">
        <v>1030</v>
      </c>
      <c r="U6" s="57" t="s">
        <v>141</v>
      </c>
      <c r="V6" s="145" t="s">
        <v>1026</v>
      </c>
      <c r="W6" s="98" t="s">
        <v>1031</v>
      </c>
      <c r="X6" s="39" t="s">
        <v>139</v>
      </c>
      <c r="Y6" s="39" t="s">
        <v>138</v>
      </c>
      <c r="Z6" s="42" t="s">
        <v>138</v>
      </c>
      <c r="AA6" s="39" t="s">
        <v>141</v>
      </c>
      <c r="AB6" s="78" t="s">
        <v>1026</v>
      </c>
      <c r="AC6" s="39" t="s">
        <v>1032</v>
      </c>
      <c r="AD6" s="42" t="s">
        <v>141</v>
      </c>
      <c r="AE6" s="145" t="s">
        <v>1026</v>
      </c>
      <c r="AF6" s="77" t="s">
        <v>1033</v>
      </c>
      <c r="AG6" s="39" t="s">
        <v>139</v>
      </c>
      <c r="AH6" s="39" t="s">
        <v>138</v>
      </c>
      <c r="AI6" s="39" t="s">
        <v>138</v>
      </c>
      <c r="AJ6" s="39" t="s">
        <v>141</v>
      </c>
      <c r="AK6" s="78" t="s">
        <v>1034</v>
      </c>
      <c r="AL6" s="39" t="s">
        <v>139</v>
      </c>
      <c r="AM6" s="39" t="s">
        <v>138</v>
      </c>
      <c r="AN6" s="175">
        <v>900</v>
      </c>
      <c r="AO6" s="175">
        <v>900</v>
      </c>
      <c r="AP6" s="175">
        <v>900</v>
      </c>
      <c r="AQ6" s="175">
        <v>27000</v>
      </c>
      <c r="AR6" s="175">
        <v>27000</v>
      </c>
      <c r="AS6" s="261">
        <v>27000</v>
      </c>
      <c r="AT6" s="185">
        <f t="shared" si="0"/>
        <v>4.9846153846153847</v>
      </c>
      <c r="AU6" s="185">
        <f t="shared" si="1"/>
        <v>4.852187977356456</v>
      </c>
      <c r="AV6" s="185">
        <f t="shared" si="2"/>
        <v>4.852187977356456</v>
      </c>
      <c r="AW6" s="42" t="s">
        <v>141</v>
      </c>
      <c r="AX6" s="42" t="s">
        <v>138</v>
      </c>
      <c r="AY6" s="42" t="s">
        <v>138</v>
      </c>
      <c r="AZ6" s="42">
        <v>-10.6</v>
      </c>
      <c r="BA6" s="99">
        <v>51253</v>
      </c>
      <c r="BB6" s="48">
        <v>29</v>
      </c>
      <c r="BC6" s="48">
        <v>33</v>
      </c>
      <c r="BD6" s="64" t="s">
        <v>987</v>
      </c>
      <c r="BE6" s="39">
        <v>100</v>
      </c>
      <c r="BF6" s="263">
        <v>65000</v>
      </c>
      <c r="BG6" s="325" t="s">
        <v>138</v>
      </c>
      <c r="BH6" s="342">
        <f>($BF$6-(AQ6+$BA$6))/(AQ6+$BA$6)</f>
        <v>-0.1693609190701954</v>
      </c>
      <c r="BI6" s="342">
        <f t="shared" ref="BI6:BJ6" si="6">($BF$6-(AR6+$BA$6))/(AR6+$BA$6)</f>
        <v>-0.1693609190701954</v>
      </c>
      <c r="BJ6" s="413">
        <f t="shared" si="6"/>
        <v>-0.1693609190701954</v>
      </c>
      <c r="BK6" s="415">
        <v>27000</v>
      </c>
      <c r="BL6" s="415">
        <v>27000</v>
      </c>
      <c r="BM6" s="416">
        <v>27000</v>
      </c>
    </row>
    <row r="7" spans="1:65">
      <c r="A7" s="67" t="s">
        <v>1035</v>
      </c>
      <c r="B7" s="77" t="s">
        <v>849</v>
      </c>
      <c r="C7" s="77" t="s">
        <v>1036</v>
      </c>
      <c r="D7" s="78" t="s">
        <v>1037</v>
      </c>
      <c r="E7" s="42" t="s">
        <v>1038</v>
      </c>
      <c r="F7" s="42" t="s">
        <v>231</v>
      </c>
      <c r="G7" s="42" t="s">
        <v>138</v>
      </c>
      <c r="H7" s="57" t="s">
        <v>138</v>
      </c>
      <c r="I7" s="83" t="s">
        <v>138</v>
      </c>
      <c r="J7" s="42" t="s">
        <v>138</v>
      </c>
      <c r="K7" s="83" t="s">
        <v>138</v>
      </c>
      <c r="L7" s="83" t="s">
        <v>138</v>
      </c>
      <c r="M7" s="83" t="s">
        <v>138</v>
      </c>
      <c r="N7" s="83" t="s">
        <v>138</v>
      </c>
      <c r="O7" s="42" t="s">
        <v>141</v>
      </c>
      <c r="P7" s="42">
        <v>12</v>
      </c>
      <c r="Q7" s="39" t="s">
        <v>990</v>
      </c>
      <c r="R7" s="42">
        <v>30</v>
      </c>
      <c r="S7" s="98" t="s">
        <v>1039</v>
      </c>
      <c r="T7" s="145" t="s">
        <v>1040</v>
      </c>
      <c r="U7" s="57" t="s">
        <v>141</v>
      </c>
      <c r="V7" s="145" t="s">
        <v>1037</v>
      </c>
      <c r="W7" s="98" t="s">
        <v>1041</v>
      </c>
      <c r="X7" s="39" t="s">
        <v>141</v>
      </c>
      <c r="Y7" s="174" t="s">
        <v>1042</v>
      </c>
      <c r="Z7" s="77" t="s">
        <v>1043</v>
      </c>
      <c r="AA7" s="39" t="s">
        <v>139</v>
      </c>
      <c r="AB7" s="39" t="s">
        <v>138</v>
      </c>
      <c r="AC7" s="39" t="s">
        <v>138</v>
      </c>
      <c r="AD7" s="42" t="s">
        <v>141</v>
      </c>
      <c r="AE7" s="145" t="s">
        <v>1037</v>
      </c>
      <c r="AF7" s="77" t="s">
        <v>1044</v>
      </c>
      <c r="AG7" s="39" t="s">
        <v>141</v>
      </c>
      <c r="AH7" s="78" t="s">
        <v>1045</v>
      </c>
      <c r="AI7" s="39" t="s">
        <v>1046</v>
      </c>
      <c r="AJ7" s="39" t="s">
        <v>141</v>
      </c>
      <c r="AK7" s="78" t="s">
        <v>1047</v>
      </c>
      <c r="AL7" s="39" t="s">
        <v>141</v>
      </c>
      <c r="AM7" s="78" t="s">
        <v>1048</v>
      </c>
      <c r="AN7" s="39">
        <v>495</v>
      </c>
      <c r="AO7" s="39">
        <v>821</v>
      </c>
      <c r="AP7" s="39">
        <v>821</v>
      </c>
      <c r="AQ7" s="175">
        <v>14841</v>
      </c>
      <c r="AR7" s="175">
        <v>24621</v>
      </c>
      <c r="AS7" s="175">
        <v>24621</v>
      </c>
      <c r="AT7" s="185">
        <f>(AQ7/(SUM($BF7:$BG7)))*12</f>
        <v>1.7031539888682747</v>
      </c>
      <c r="AU7" s="185">
        <f>(AR7/(SUM($BF$2:$BG$2)))*12</f>
        <v>4.424656303351604</v>
      </c>
      <c r="AV7" s="185">
        <f>(AS7/(SUM($BF$2:$BG$2)))*12</f>
        <v>4.424656303351604</v>
      </c>
      <c r="AW7" s="42" t="s">
        <v>141</v>
      </c>
      <c r="AX7" s="42" t="s">
        <v>138</v>
      </c>
      <c r="AY7" s="42" t="s">
        <v>138</v>
      </c>
      <c r="AZ7" s="42">
        <v>-8.9</v>
      </c>
      <c r="BA7" s="99">
        <v>44420</v>
      </c>
      <c r="BB7" s="39" t="s">
        <v>138</v>
      </c>
      <c r="BC7" s="39" t="s">
        <v>138</v>
      </c>
      <c r="BD7" s="39" t="s">
        <v>138</v>
      </c>
      <c r="BE7" s="39" t="s">
        <v>138</v>
      </c>
      <c r="BF7" s="263">
        <v>104566</v>
      </c>
      <c r="BG7" s="325" t="s">
        <v>138</v>
      </c>
      <c r="BH7" s="342">
        <f>($BF$7-(AQ7+$BA$7))/(AQ7+$BA$7)</f>
        <v>0.76449941782960129</v>
      </c>
      <c r="BI7" s="342">
        <f t="shared" ref="BI7:BJ7" si="7">($BF$7-(AR7+$BA$7))/(AR7+$BA$7)</f>
        <v>0.51454932576295243</v>
      </c>
      <c r="BJ7" s="413">
        <f t="shared" si="7"/>
        <v>0.51454932576295243</v>
      </c>
      <c r="BK7" s="417" t="s">
        <v>1049</v>
      </c>
      <c r="BL7" s="417" t="s">
        <v>1050</v>
      </c>
      <c r="BM7" s="415">
        <v>37381</v>
      </c>
    </row>
  </sheetData>
  <hyperlinks>
    <hyperlink ref="D3" r:id="rId1" xr:uid="{9233FCDA-920E-4E89-ABCD-BE4A68FACCC0}"/>
    <hyperlink ref="D4" r:id="rId2" xr:uid="{99849FED-595C-4DAD-BEE4-AC7CC15EAF72}"/>
    <hyperlink ref="D5" r:id="rId3" xr:uid="{96D7F47E-6689-4207-A210-5081D1B384DD}"/>
    <hyperlink ref="D6" r:id="rId4" xr:uid="{FC63EED6-F72D-465D-B0FB-90E62B822CE9}"/>
    <hyperlink ref="D7" r:id="rId5" xr:uid="{4092BEA5-29B7-428B-A521-6FC743104F86}"/>
    <hyperlink ref="BC3" r:id="rId6" display="12" xr:uid="{0457929A-44D5-4181-AAD9-9FF633C3CE57}"/>
    <hyperlink ref="BC6" r:id="rId7" display="35" xr:uid="{8310C2DE-E049-4690-B135-A99D8DEF8EA7}"/>
    <hyperlink ref="BC4" r:id="rId8" display="41" xr:uid="{30D52287-BB86-4F9D-BC6A-CC21408C6EFD}"/>
    <hyperlink ref="BB4" r:id="rId9" display="3" xr:uid="{C6AD084F-8820-4E42-BA4C-DDE70B0960E4}"/>
    <hyperlink ref="BB5" r:id="rId10" display="29" xr:uid="{1DC59513-D55E-45BA-B02C-B993652A1277}"/>
    <hyperlink ref="BB6" r:id="rId11" display="29" xr:uid="{CA5E6DEF-7DEF-4F29-913C-243A170019FF}"/>
    <hyperlink ref="BB3" r:id="rId12" display="10" xr:uid="{E838CA42-40AA-483F-B965-081EBB6CCA52}"/>
    <hyperlink ref="D2" r:id="rId13" xr:uid="{A5A2874E-C133-498D-8EAB-3E68ACC3C2A0}"/>
    <hyperlink ref="BC2" r:id="rId14" display="1" xr:uid="{915328BE-6117-45EE-A404-EFAD40BFADB3}"/>
    <hyperlink ref="T2" r:id="rId15" xr:uid="{0A339541-C027-4A8F-96E0-002034F5F70F}"/>
    <hyperlink ref="V2" r:id="rId16" xr:uid="{BF119ECC-7FB6-49A0-8419-8E9D966FD3B9}"/>
    <hyperlink ref="Y2" r:id="rId17" xr:uid="{99071DCE-1566-47CD-B0F5-148232B1AEF8}"/>
    <hyperlink ref="AB2" r:id="rId18" xr:uid="{9A38B8D5-5F08-40D2-B324-59B7C6DAA456}"/>
    <hyperlink ref="AE2" r:id="rId19" xr:uid="{DF0B20ED-7A27-4557-95E4-8B71AF8099EE}"/>
    <hyperlink ref="T3" r:id="rId20" xr:uid="{9ED0551C-B637-4CD0-969F-B883097BA09B}"/>
    <hyperlink ref="T4" r:id="rId21" xr:uid="{FF500CEE-6A4C-47EE-923E-6F59B7DEBB4C}"/>
    <hyperlink ref="AE4" r:id="rId22" xr:uid="{B4E23B75-35C6-4746-AE73-ECC7A97ED421}"/>
    <hyperlink ref="V4" r:id="rId23" xr:uid="{50D840F9-474D-47AF-A590-5705F29F05CC}"/>
    <hyperlink ref="AB3" r:id="rId24" xr:uid="{29B3D78F-6845-4DFA-BF2F-DCD18E117FF9}"/>
    <hyperlink ref="AM4" r:id="rId25" display="https://giesonline.illinois.edu/explore-programs/online-masters-in-accounting?source=adwords&amp;utm_medium=paid&amp;&amp;utm_source=google&amp;utm_campaign=imsa_fy26&amp;scid=4060672&amp;kw=39541633&amp;pub_cr_id=764000113174&amp;device=c&amp;network=g&amp;targetid=kwd-330482540619&amp;loc_interest_ms=&amp;loc_physical_ms=9016722&amp;tc=CjwKCAjwq9rFBhAIEiwAGVAZP6lpvLyeUQ7K5j3Ij1uTBX4NTWkgDTCfSOEnImEocsNpZOfxOf8LQBoCZXkQAvD_BwE&amp;rl_key=80e0063ca435ec7258c2104fd1dd94f5&amp;gad_source=1&amp;gad_campaignid=14485217259&amp;gbraid=0AAAAABJR7BOgWSjyeDc0TKbU00V62dEuG&amp;gclid=CjwKCAjwq9rFBhAIEiwAGVAZP6lpvLyeUQ7K5j3Ij1uTBX4NTWkgDTCfSOEnImEocsNpZOfxOf8LQBoCZXkQAvD_BwE" xr:uid="{137B4932-8DEC-4D73-A910-91EAEC09CCF4}"/>
    <hyperlink ref="T5" r:id="rId26" xr:uid="{722CE3E6-4CCA-46F5-BC27-A6F23CDC2EAC}"/>
    <hyperlink ref="V5" r:id="rId27" xr:uid="{C834AF1C-D3DA-4AA8-90C1-2DDDB887721F}"/>
    <hyperlink ref="AE5" r:id="rId28" xr:uid="{9C45F2A0-C621-42E3-9ACD-E8B3A0A50A12}"/>
    <hyperlink ref="AK5" r:id="rId29" xr:uid="{7A5C1F97-9694-4C81-BB3D-25D5EA511348}"/>
    <hyperlink ref="AH5" r:id="rId30" xr:uid="{E28FBDC6-9123-439B-8630-F9F83ABB49F9}"/>
    <hyperlink ref="T6" r:id="rId31" xr:uid="{9FF4C2B9-271C-4775-ACFA-835560277263}"/>
    <hyperlink ref="V6" r:id="rId32" xr:uid="{4E3BF124-FF2E-4D6D-B778-BF353641AF25}"/>
    <hyperlink ref="AB6" r:id="rId33" xr:uid="{895155E1-4F4A-4061-A1D2-DE1D7078B9DD}"/>
    <hyperlink ref="AE6" r:id="rId34" xr:uid="{CF6C0063-0B80-4079-A9C2-9CE97594AD66}"/>
    <hyperlink ref="AK6" r:id="rId35" xr:uid="{9B5B3FF6-9129-4B9F-9652-F1D10223C2B9}"/>
    <hyperlink ref="V3" r:id="rId36" xr:uid="{6B794CDD-8110-4D2E-9192-F734C9D9FCF5}"/>
    <hyperlink ref="AE3" r:id="rId37" xr:uid="{630F17F6-E273-4DEA-8F5A-AA89211B317B}"/>
    <hyperlink ref="T7" r:id="rId38" xr:uid="{CD741720-B2B8-4056-9C61-FB47F3A18A71}"/>
    <hyperlink ref="V7" r:id="rId39" xr:uid="{FDDC14FD-EBC7-40A5-9442-BC8BFAC61104}"/>
    <hyperlink ref="AH7" r:id="rId40" xr:uid="{46BD5470-2C5E-47B0-98DC-1E05A84936E0}"/>
    <hyperlink ref="AM7" r:id="rId41" xr:uid="{C870F008-4FAA-4A5C-BB26-F0A9E7A9CF3C}"/>
    <hyperlink ref="AK7" r:id="rId42" xr:uid="{2F6E7489-2C4B-4052-9D9C-29528E2B1AF9}"/>
    <hyperlink ref="AE7" r:id="rId43" xr:uid="{06B5C347-101F-4907-83A0-5371DC67FD6F}"/>
    <hyperlink ref="Y7" r:id="rId44" xr:uid="{BD4A7B68-11C8-432A-BCB6-F90FE191910F}"/>
    <hyperlink ref="N3" r:id="rId45" display="26%" xr:uid="{05DE9247-EE11-4A1E-81ED-26C9BFB03FF9}"/>
    <hyperlink ref="L3" r:id="rId46" display="50" xr:uid="{E278BFBC-15C5-45BF-B65C-E3F9B9E5C37A}"/>
    <hyperlink ref="M3" r:id="rId47" display="12%" xr:uid="{D0996442-4D0E-4DA6-AA5C-9DCD11DF69EE}"/>
    <hyperlink ref="BF3" r:id="rId48" display="73,125" xr:uid="{802F86E6-8ADF-4363-8324-250E869EFE0F}"/>
    <hyperlink ref="AH3" r:id="rId49" xr:uid="{61D3F1BE-3978-45A4-AD52-FA62A4A0953F}"/>
    <hyperlink ref="AK3" r:id="rId50" xr:uid="{071078D1-F599-4CE6-A15C-BBA426CA82BD}"/>
    <hyperlink ref="AK2" r:id="rId51" xr:uid="{588B6927-FDFE-4E7C-9EE5-54DD73CDC5D0}"/>
    <hyperlink ref="AH2" r:id="rId52" xr:uid="{0A8E6871-B229-405D-9455-99FAD52871B4}"/>
    <hyperlink ref="L5" r:id="rId53" display="68" xr:uid="{BFBCF7EA-45DB-41EE-B48B-9B5606334FDC}"/>
    <hyperlink ref="M5" r:id="rId54" display="19%" xr:uid="{8A1334BA-2981-4FEF-A217-A3D153142548}"/>
    <hyperlink ref="N5" r:id="rId55" display="51%" xr:uid="{B0B281DC-EA4A-4902-AC2C-8A0831A532B7}"/>
    <hyperlink ref="I6" r:id="rId56" display="3.63" xr:uid="{8E97E187-D8CC-4433-97D0-63EBC6EDD257}"/>
    <hyperlink ref="K6" r:id="rId57" display="22" xr:uid="{93BF11E4-218E-4059-98E1-E36DFB49AA57}"/>
    <hyperlink ref="L6" r:id="rId58" display="92" xr:uid="{5C387934-CE3B-47AD-8805-6C1E3E43138B}"/>
    <hyperlink ref="N6" r:id="rId59" display="46%" xr:uid="{FBF9BB50-3ADA-40B7-9985-8D0FEC65C29B}"/>
    <hyperlink ref="BC5" r:id="rId60" display="41" xr:uid="{27287968-F96E-4CC6-8AE3-79853478A6EF}"/>
    <hyperlink ref="BD2" r:id="rId61" xr:uid="{60965423-38A1-4888-AFC7-E6DEC03FCB4E}"/>
    <hyperlink ref="BD3" r:id="rId62" xr:uid="{71EE1BE7-E18F-4B33-A3B0-0F492BA17437}"/>
    <hyperlink ref="BD4" r:id="rId63" display="48" xr:uid="{855E5BA0-8B69-4939-947E-6CE0D4A251CE}"/>
    <hyperlink ref="BD6" r:id="rId64" xr:uid="{3AF9B341-AD6F-4482-B674-D18C0A41C6BE}"/>
    <hyperlink ref="AH4" r:id="rId65" xr:uid="{678B64D1-88EB-4DF4-964E-C5D90243E444}"/>
    <hyperlink ref="BK2:BM2" r:id="rId66" display="$18,000 " xr:uid="{75A9DEC4-39EF-4E40-BDAC-AA223A762F8D}"/>
    <hyperlink ref="BK3:BM3" r:id="rId67" display="$25,038 " xr:uid="{AAA93A55-8F75-4FE0-B840-BC805CC7CF9E}"/>
    <hyperlink ref="BK4:BM4" r:id="rId68" display="$50,867 " xr:uid="{D6F1ADA0-7F09-4DE3-ACF6-1F0A5A899A3F}"/>
    <hyperlink ref="BK5:BM5" r:id="rId69" display="$55,660 " xr:uid="{024D3299-8A47-4699-8664-CF75D73E3A0F}"/>
    <hyperlink ref="BK6:BM6" r:id="rId70" display="$27,000 " xr:uid="{7D32541F-FA0D-4F38-892A-233751A6FCE5}"/>
    <hyperlink ref="BK7:BM7" r:id="rId71" display="_x0009_$25,750" xr:uid="{38DF9617-951E-4125-A7DE-DF450B89CAB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083B2-AD07-4A62-8517-2D9E9F5A3898}">
  <sheetPr>
    <tabColor rgb="FFFFFF00"/>
  </sheetPr>
  <dimension ref="A1:BR14"/>
  <sheetViews>
    <sheetView zoomScale="131" zoomScaleNormal="131" workbookViewId="0">
      <pane xSplit="1" ySplit="1" topLeftCell="BL2" activePane="bottomRight" state="frozen"/>
      <selection pane="bottomRight" activeCell="BT14" sqref="BT14"/>
      <selection pane="bottomLeft"/>
      <selection pane="topRight"/>
    </sheetView>
  </sheetViews>
  <sheetFormatPr defaultColWidth="20.42578125" defaultRowHeight="15"/>
  <cols>
    <col min="1" max="22" width="20.42578125" style="26"/>
    <col min="23" max="23" width="20.42578125" style="25"/>
    <col min="24" max="25" width="20.42578125" style="26"/>
    <col min="26" max="26" width="20.42578125" style="25"/>
    <col min="27" max="27" width="20.42578125" style="26"/>
    <col min="28" max="28" width="20.42578125" style="25"/>
    <col min="29" max="39" width="20.42578125" style="26"/>
    <col min="40" max="48" width="20.42578125" style="25"/>
    <col min="49" max="49" width="20.42578125" style="26"/>
    <col min="50" max="68" width="27.85546875" style="26" customWidth="1"/>
    <col min="69" max="16384" width="20.42578125" style="26"/>
  </cols>
  <sheetData>
    <row r="1" spans="1:70" s="290" customFormat="1">
      <c r="A1" s="141" t="s">
        <v>4</v>
      </c>
      <c r="B1" s="141" t="s">
        <v>117</v>
      </c>
      <c r="C1" s="141" t="s">
        <v>7</v>
      </c>
      <c r="D1" s="141" t="s">
        <v>11</v>
      </c>
      <c r="E1" s="141" t="s">
        <v>82</v>
      </c>
      <c r="F1" s="141" t="s">
        <v>83</v>
      </c>
      <c r="G1" s="141" t="s">
        <v>1051</v>
      </c>
      <c r="H1" s="141" t="s">
        <v>1052</v>
      </c>
      <c r="I1" s="141" t="s">
        <v>1053</v>
      </c>
      <c r="J1" s="141" t="s">
        <v>86</v>
      </c>
      <c r="K1" s="141" t="s">
        <v>1054</v>
      </c>
      <c r="L1" s="141" t="s">
        <v>21</v>
      </c>
      <c r="M1" s="141" t="s">
        <v>25</v>
      </c>
      <c r="N1" s="141" t="s">
        <v>27</v>
      </c>
      <c r="O1" s="141" t="s">
        <v>28</v>
      </c>
      <c r="P1" s="91" t="s">
        <v>30</v>
      </c>
      <c r="Q1" s="141" t="s">
        <v>118</v>
      </c>
      <c r="R1" s="141" t="s">
        <v>38</v>
      </c>
      <c r="S1" s="141" t="s">
        <v>119</v>
      </c>
      <c r="T1" s="141" t="s">
        <v>952</v>
      </c>
      <c r="U1" s="141" t="s">
        <v>46</v>
      </c>
      <c r="V1" s="141" t="s">
        <v>954</v>
      </c>
      <c r="W1" s="392" t="s">
        <v>955</v>
      </c>
      <c r="X1" s="141" t="s">
        <v>956</v>
      </c>
      <c r="Y1" s="141" t="s">
        <v>957</v>
      </c>
      <c r="Z1" s="141" t="s">
        <v>958</v>
      </c>
      <c r="AA1" s="141" t="s">
        <v>959</v>
      </c>
      <c r="AB1" s="141" t="s">
        <v>960</v>
      </c>
      <c r="AC1" s="141" t="s">
        <v>961</v>
      </c>
      <c r="AD1" s="141" t="s">
        <v>87</v>
      </c>
      <c r="AE1" s="153" t="s">
        <v>88</v>
      </c>
      <c r="AF1" s="153" t="s">
        <v>89</v>
      </c>
      <c r="AG1" s="141" t="s">
        <v>963</v>
      </c>
      <c r="AH1" s="141" t="s">
        <v>964</v>
      </c>
      <c r="AI1" s="141" t="s">
        <v>965</v>
      </c>
      <c r="AJ1" s="141" t="s">
        <v>269</v>
      </c>
      <c r="AK1" s="141" t="s">
        <v>270</v>
      </c>
      <c r="AL1" s="141" t="s">
        <v>966</v>
      </c>
      <c r="AM1" s="141" t="s">
        <v>967</v>
      </c>
      <c r="AN1" s="141" t="s">
        <v>94</v>
      </c>
      <c r="AO1" s="141" t="s">
        <v>95</v>
      </c>
      <c r="AP1" s="141" t="s">
        <v>96</v>
      </c>
      <c r="AQ1" s="141" t="s">
        <v>97</v>
      </c>
      <c r="AR1" s="141" t="s">
        <v>98</v>
      </c>
      <c r="AS1" s="141" t="s">
        <v>99</v>
      </c>
      <c r="AT1" s="141" t="s">
        <v>126</v>
      </c>
      <c r="AU1" s="141" t="s">
        <v>127</v>
      </c>
      <c r="AV1" s="141" t="s">
        <v>128</v>
      </c>
      <c r="AW1" s="141" t="s">
        <v>968</v>
      </c>
      <c r="AX1" s="141" t="s">
        <v>68</v>
      </c>
      <c r="AY1" s="141" t="s">
        <v>70</v>
      </c>
      <c r="AZ1" s="141" t="s">
        <v>74</v>
      </c>
      <c r="BA1" s="141" t="s">
        <v>76</v>
      </c>
      <c r="BB1" s="141" t="s">
        <v>62</v>
      </c>
      <c r="BC1" s="141" t="s">
        <v>64</v>
      </c>
      <c r="BD1" s="141" t="s">
        <v>101</v>
      </c>
      <c r="BE1" s="141" t="s">
        <v>102</v>
      </c>
      <c r="BF1" s="141" t="s">
        <v>69</v>
      </c>
      <c r="BG1" s="393" t="s">
        <v>71</v>
      </c>
      <c r="BH1" s="387" t="s">
        <v>969</v>
      </c>
      <c r="BI1" s="387" t="s">
        <v>970</v>
      </c>
      <c r="BJ1" s="387" t="s">
        <v>971</v>
      </c>
      <c r="BK1" s="387" t="s">
        <v>1055</v>
      </c>
      <c r="BL1" s="387" t="s">
        <v>1056</v>
      </c>
      <c r="BM1" s="387" t="s">
        <v>1057</v>
      </c>
      <c r="BN1" s="387" t="s">
        <v>1058</v>
      </c>
      <c r="BO1" s="387" t="s">
        <v>1059</v>
      </c>
      <c r="BP1" s="387" t="s">
        <v>1060</v>
      </c>
      <c r="BQ1" s="387" t="s">
        <v>1061</v>
      </c>
      <c r="BR1" s="387" t="s">
        <v>1062</v>
      </c>
    </row>
    <row r="2" spans="1:70" s="122" customFormat="1">
      <c r="A2" s="141" t="s">
        <v>132</v>
      </c>
      <c r="B2" s="57" t="s">
        <v>133</v>
      </c>
      <c r="C2" s="57" t="s">
        <v>1063</v>
      </c>
      <c r="D2" s="73" t="s">
        <v>1064</v>
      </c>
      <c r="E2" s="57" t="s">
        <v>136</v>
      </c>
      <c r="F2" s="57" t="s">
        <v>137</v>
      </c>
      <c r="G2" s="57" t="s">
        <v>138</v>
      </c>
      <c r="H2" s="57" t="s">
        <v>138</v>
      </c>
      <c r="I2" s="73">
        <v>3.41</v>
      </c>
      <c r="J2" s="149" t="s">
        <v>1065</v>
      </c>
      <c r="K2" s="42" t="s">
        <v>138</v>
      </c>
      <c r="L2" s="42" t="s">
        <v>138</v>
      </c>
      <c r="M2" s="42" t="s">
        <v>138</v>
      </c>
      <c r="N2" s="102">
        <v>0.42</v>
      </c>
      <c r="O2" s="57" t="s">
        <v>141</v>
      </c>
      <c r="P2" s="165">
        <v>12</v>
      </c>
      <c r="Q2" s="57" t="s">
        <v>990</v>
      </c>
      <c r="R2" s="57">
        <v>36</v>
      </c>
      <c r="S2" s="57" t="s">
        <v>1066</v>
      </c>
      <c r="T2" s="73" t="s">
        <v>1067</v>
      </c>
      <c r="U2" s="57" t="s">
        <v>141</v>
      </c>
      <c r="V2" s="394" t="s">
        <v>1068</v>
      </c>
      <c r="W2" s="57" t="s">
        <v>1069</v>
      </c>
      <c r="X2" s="395" t="s">
        <v>141</v>
      </c>
      <c r="Y2" s="385" t="s">
        <v>979</v>
      </c>
      <c r="Z2" s="62" t="s">
        <v>981</v>
      </c>
      <c r="AA2" s="62" t="s">
        <v>141</v>
      </c>
      <c r="AB2" s="385" t="s">
        <v>979</v>
      </c>
      <c r="AC2" s="62" t="s">
        <v>982</v>
      </c>
      <c r="AD2" s="57" t="s">
        <v>141</v>
      </c>
      <c r="AE2" s="73" t="s">
        <v>1070</v>
      </c>
      <c r="AF2" s="57" t="s">
        <v>1071</v>
      </c>
      <c r="AG2" s="57" t="s">
        <v>141</v>
      </c>
      <c r="AH2" s="73" t="s">
        <v>979</v>
      </c>
      <c r="AI2" s="57" t="s">
        <v>1072</v>
      </c>
      <c r="AJ2" s="57" t="s">
        <v>141</v>
      </c>
      <c r="AK2" s="73" t="s">
        <v>979</v>
      </c>
      <c r="AL2" s="57" t="s">
        <v>139</v>
      </c>
      <c r="AM2" s="57" t="s">
        <v>138</v>
      </c>
      <c r="AN2" s="99">
        <v>750</v>
      </c>
      <c r="AO2" s="99">
        <v>970</v>
      </c>
      <c r="AP2" s="99">
        <v>1575</v>
      </c>
      <c r="AQ2" s="100">
        <v>27000</v>
      </c>
      <c r="AR2" s="100">
        <v>34920</v>
      </c>
      <c r="AS2" s="100">
        <v>56700</v>
      </c>
      <c r="AT2" s="273">
        <f>(AQ2/(SUM($BF2:$BG2)))*12</f>
        <v>2.7484879075015058</v>
      </c>
      <c r="AU2" s="273">
        <f t="shared" ref="AU2:AV2" si="0">(AR2/(SUM($BF2:$BG2)))*12</f>
        <v>3.5547110270352804</v>
      </c>
      <c r="AV2" s="273">
        <f t="shared" si="0"/>
        <v>5.7718246057531619</v>
      </c>
      <c r="AW2" s="57" t="s">
        <v>141</v>
      </c>
      <c r="AX2" s="57" t="s">
        <v>138</v>
      </c>
      <c r="AY2" s="57" t="s">
        <v>138</v>
      </c>
      <c r="AZ2" s="57">
        <v>0</v>
      </c>
      <c r="BA2" s="57">
        <v>50000</v>
      </c>
      <c r="BB2" s="73">
        <v>13</v>
      </c>
      <c r="BC2" s="57" t="s">
        <v>1073</v>
      </c>
      <c r="BD2" s="73">
        <v>23</v>
      </c>
      <c r="BE2" s="57">
        <v>100</v>
      </c>
      <c r="BF2" s="160">
        <v>109539</v>
      </c>
      <c r="BG2" s="396">
        <v>8344</v>
      </c>
      <c r="BH2" s="124">
        <f>(($BF$2-(AQ2+$BA$2))/(AQ2+$BA$2))</f>
        <v>0.42258441558441556</v>
      </c>
      <c r="BI2" s="124">
        <f>(($BF$2-(AR2+$BA$2))/(AR2+$BA$2))</f>
        <v>0.28990814884597266</v>
      </c>
      <c r="BJ2" s="124">
        <f>(($BF$2-(AS2+$BA$2))/(AS2+$BA$2))</f>
        <v>2.660731021555764E-2</v>
      </c>
      <c r="BK2" s="124">
        <v>750</v>
      </c>
      <c r="BL2" s="124">
        <v>970</v>
      </c>
      <c r="BM2" s="124">
        <v>1575</v>
      </c>
      <c r="BN2" s="124">
        <v>27000</v>
      </c>
      <c r="BO2" s="124">
        <v>34920</v>
      </c>
      <c r="BP2" s="124">
        <v>56700</v>
      </c>
      <c r="BQ2" s="124" t="s">
        <v>1074</v>
      </c>
      <c r="BR2" s="124" t="s">
        <v>1075</v>
      </c>
    </row>
    <row r="3" spans="1:70">
      <c r="A3" s="141" t="s">
        <v>1076</v>
      </c>
      <c r="B3" s="42" t="s">
        <v>1077</v>
      </c>
      <c r="C3" s="42" t="s">
        <v>246</v>
      </c>
      <c r="D3" s="46" t="s">
        <v>1078</v>
      </c>
      <c r="E3" s="42" t="s">
        <v>1079</v>
      </c>
      <c r="F3" s="42" t="s">
        <v>161</v>
      </c>
      <c r="G3" s="41">
        <v>674</v>
      </c>
      <c r="H3" s="41" t="s">
        <v>138</v>
      </c>
      <c r="I3" s="41">
        <v>3.69</v>
      </c>
      <c r="J3" s="42" t="s">
        <v>138</v>
      </c>
      <c r="K3" s="41">
        <v>25</v>
      </c>
      <c r="L3" s="41">
        <v>120</v>
      </c>
      <c r="M3" s="102">
        <v>0.71</v>
      </c>
      <c r="N3" s="102">
        <v>0.43</v>
      </c>
      <c r="O3" s="42" t="s">
        <v>141</v>
      </c>
      <c r="P3" s="42">
        <v>10</v>
      </c>
      <c r="Q3" s="42" t="s">
        <v>1080</v>
      </c>
      <c r="R3" s="42">
        <v>31</v>
      </c>
      <c r="S3" s="42" t="s">
        <v>1081</v>
      </c>
      <c r="T3" s="41" t="s">
        <v>1082</v>
      </c>
      <c r="U3" s="57" t="s">
        <v>141</v>
      </c>
      <c r="V3" s="397" t="s">
        <v>1083</v>
      </c>
      <c r="W3" s="42" t="s">
        <v>1084</v>
      </c>
      <c r="X3" s="139" t="s">
        <v>139</v>
      </c>
      <c r="Y3" s="42" t="s">
        <v>138</v>
      </c>
      <c r="Z3" s="42" t="s">
        <v>138</v>
      </c>
      <c r="AA3" s="42" t="s">
        <v>139</v>
      </c>
      <c r="AB3" s="42" t="s">
        <v>138</v>
      </c>
      <c r="AC3" s="42" t="s">
        <v>138</v>
      </c>
      <c r="AD3" s="57" t="s">
        <v>141</v>
      </c>
      <c r="AE3" s="41" t="s">
        <v>1085</v>
      </c>
      <c r="AF3" s="42" t="s">
        <v>1086</v>
      </c>
      <c r="AG3" s="57" t="s">
        <v>141</v>
      </c>
      <c r="AH3" s="46" t="s">
        <v>1087</v>
      </c>
      <c r="AI3" s="42" t="s">
        <v>1088</v>
      </c>
      <c r="AJ3" s="57" t="s">
        <v>141</v>
      </c>
      <c r="AK3" s="46" t="s">
        <v>1087</v>
      </c>
      <c r="AL3" s="42" t="s">
        <v>141</v>
      </c>
      <c r="AM3" s="46" t="s">
        <v>1089</v>
      </c>
      <c r="AN3" s="99">
        <v>1741</v>
      </c>
      <c r="AO3" s="99">
        <v>1870</v>
      </c>
      <c r="AP3" s="99">
        <v>1870</v>
      </c>
      <c r="AQ3" s="99">
        <v>54000</v>
      </c>
      <c r="AR3" s="99">
        <v>58000</v>
      </c>
      <c r="AS3" s="99">
        <v>58000</v>
      </c>
      <c r="AT3" s="273">
        <f t="shared" ref="AT3:AT5" si="1">(AQ3/(SUM($BF3:$BG3)))*12</f>
        <v>5.9188352316840369</v>
      </c>
      <c r="AU3" s="273">
        <f t="shared" ref="AU3:AU5" si="2">(AR3/(SUM($BF3:$BG3)))*12</f>
        <v>6.3572674710680381</v>
      </c>
      <c r="AV3" s="273">
        <f t="shared" ref="AV3:AV5" si="3">(AS3/(SUM($BF3:$BG3)))*12</f>
        <v>6.3572674710680381</v>
      </c>
      <c r="AW3" s="57" t="s">
        <v>141</v>
      </c>
      <c r="AX3" s="42" t="s">
        <v>138</v>
      </c>
      <c r="AY3" s="42" t="s">
        <v>138</v>
      </c>
      <c r="AZ3" s="42">
        <v>-4.0999999999999996</v>
      </c>
      <c r="BA3" s="99">
        <v>47344</v>
      </c>
      <c r="BB3" s="46">
        <v>8</v>
      </c>
      <c r="BC3" s="42" t="s">
        <v>1090</v>
      </c>
      <c r="BD3" s="46">
        <v>12</v>
      </c>
      <c r="BE3" s="42">
        <v>100</v>
      </c>
      <c r="BF3" s="166">
        <v>109481</v>
      </c>
      <c r="BG3" s="398" t="s">
        <v>138</v>
      </c>
      <c r="BH3" s="124">
        <f t="shared" ref="BH3:BH9" si="4">(($BF$2-(AQ3+$BA$2))/(AQ3+$BA$2))</f>
        <v>5.3259615384615384E-2</v>
      </c>
      <c r="BI3" s="124">
        <f t="shared" ref="BI3:BI9" si="5">(($BF$2-(AR3+$BA$2))/(AR3+$BA$2))</f>
        <v>1.4250000000000001E-2</v>
      </c>
      <c r="BJ3" s="124">
        <f t="shared" ref="BJ3:BJ9" si="6">(($BF$2-(AS3+$BA$2))/(AS3+$BA$2))</f>
        <v>1.4250000000000001E-2</v>
      </c>
      <c r="BK3" s="124">
        <v>1741.94</v>
      </c>
      <c r="BL3" s="124">
        <v>1870.97</v>
      </c>
      <c r="BM3" s="124">
        <v>1870.97</v>
      </c>
      <c r="BN3" s="124">
        <v>54000</v>
      </c>
      <c r="BO3" s="124">
        <v>58000</v>
      </c>
      <c r="BP3" s="124">
        <v>58000</v>
      </c>
      <c r="BQ3" s="124" t="s">
        <v>1078</v>
      </c>
      <c r="BR3" s="124" t="s">
        <v>1075</v>
      </c>
    </row>
    <row r="4" spans="1:70">
      <c r="A4" s="141" t="s">
        <v>1091</v>
      </c>
      <c r="B4" s="42" t="s">
        <v>1092</v>
      </c>
      <c r="C4" s="42" t="s">
        <v>246</v>
      </c>
      <c r="D4" s="46" t="s">
        <v>1093</v>
      </c>
      <c r="E4" s="42" t="s">
        <v>1094</v>
      </c>
      <c r="F4" s="42" t="s">
        <v>1095</v>
      </c>
      <c r="G4" s="41">
        <v>690</v>
      </c>
      <c r="H4" s="41">
        <v>320</v>
      </c>
      <c r="I4" s="41" t="s">
        <v>1096</v>
      </c>
      <c r="J4" s="41">
        <v>39</v>
      </c>
      <c r="K4" s="41">
        <v>25</v>
      </c>
      <c r="L4" s="41">
        <v>24</v>
      </c>
      <c r="M4" s="102">
        <v>0.87</v>
      </c>
      <c r="N4" s="102">
        <v>0.4</v>
      </c>
      <c r="O4" s="42" t="s">
        <v>141</v>
      </c>
      <c r="P4" s="42">
        <v>12</v>
      </c>
      <c r="Q4" s="42" t="s">
        <v>1097</v>
      </c>
      <c r="R4" s="42">
        <v>45</v>
      </c>
      <c r="S4" s="42" t="s">
        <v>1098</v>
      </c>
      <c r="T4" s="41" t="s">
        <v>1099</v>
      </c>
      <c r="U4" s="57" t="s">
        <v>141</v>
      </c>
      <c r="V4" s="397" t="s">
        <v>1100</v>
      </c>
      <c r="W4" s="42" t="s">
        <v>1101</v>
      </c>
      <c r="X4" s="139" t="s">
        <v>141</v>
      </c>
      <c r="Y4" s="41" t="s">
        <v>1102</v>
      </c>
      <c r="Z4" s="42" t="s">
        <v>1103</v>
      </c>
      <c r="AA4" s="42" t="s">
        <v>141</v>
      </c>
      <c r="AB4" s="41" t="s">
        <v>1104</v>
      </c>
      <c r="AC4" s="42" t="s">
        <v>1105</v>
      </c>
      <c r="AD4" s="57" t="s">
        <v>141</v>
      </c>
      <c r="AE4" s="41" t="s">
        <v>1106</v>
      </c>
      <c r="AF4" s="42" t="s">
        <v>1107</v>
      </c>
      <c r="AG4" s="57" t="s">
        <v>141</v>
      </c>
      <c r="AH4" s="46" t="s">
        <v>1108</v>
      </c>
      <c r="AI4" s="42" t="s">
        <v>1109</v>
      </c>
      <c r="AJ4" s="57" t="s">
        <v>141</v>
      </c>
      <c r="AK4" s="46" t="s">
        <v>1110</v>
      </c>
      <c r="AL4" s="42" t="s">
        <v>139</v>
      </c>
      <c r="AM4" s="42" t="s">
        <v>138</v>
      </c>
      <c r="AN4" s="99">
        <v>1134</v>
      </c>
      <c r="AO4" s="99">
        <v>1630</v>
      </c>
      <c r="AP4" s="99">
        <v>1630</v>
      </c>
      <c r="AQ4" s="99">
        <v>51030</v>
      </c>
      <c r="AR4" s="99">
        <v>73350</v>
      </c>
      <c r="AS4" s="99">
        <v>73350</v>
      </c>
      <c r="AT4" s="273">
        <f t="shared" si="1"/>
        <v>6.3129896907216487</v>
      </c>
      <c r="AU4" s="273">
        <f t="shared" si="2"/>
        <v>9.0742268041237111</v>
      </c>
      <c r="AV4" s="273">
        <f t="shared" si="3"/>
        <v>9.0742268041237111</v>
      </c>
      <c r="AW4" s="57" t="s">
        <v>141</v>
      </c>
      <c r="AX4" s="42" t="s">
        <v>138</v>
      </c>
      <c r="AY4" s="42" t="s">
        <v>138</v>
      </c>
      <c r="AZ4" s="42">
        <v>-9.3000000000000007</v>
      </c>
      <c r="BA4" s="99">
        <v>45536</v>
      </c>
      <c r="BB4" s="250" t="s">
        <v>138</v>
      </c>
      <c r="BC4" s="42" t="s">
        <v>1111</v>
      </c>
      <c r="BD4" s="46">
        <v>26</v>
      </c>
      <c r="BE4" s="42">
        <v>92</v>
      </c>
      <c r="BF4" s="166">
        <v>97000</v>
      </c>
      <c r="BG4" s="398" t="s">
        <v>138</v>
      </c>
      <c r="BH4" s="124">
        <f t="shared" si="4"/>
        <v>8.4222508165891316E-2</v>
      </c>
      <c r="BI4" s="124">
        <f t="shared" si="5"/>
        <v>-0.11196595054722334</v>
      </c>
      <c r="BJ4" s="124">
        <f t="shared" si="6"/>
        <v>-0.11196595054722334</v>
      </c>
      <c r="BK4" s="124">
        <v>1134</v>
      </c>
      <c r="BL4" s="124">
        <v>1630</v>
      </c>
      <c r="BM4" s="124">
        <v>1630</v>
      </c>
      <c r="BN4" s="124">
        <v>51030</v>
      </c>
      <c r="BO4" s="124">
        <v>73350</v>
      </c>
      <c r="BP4" s="124">
        <v>73350</v>
      </c>
      <c r="BQ4" s="124" t="s">
        <v>1112</v>
      </c>
      <c r="BR4" s="124" t="s">
        <v>1075</v>
      </c>
    </row>
    <row r="5" spans="1:70">
      <c r="A5" s="141" t="s">
        <v>1113</v>
      </c>
      <c r="B5" s="42" t="s">
        <v>1114</v>
      </c>
      <c r="C5" s="42" t="s">
        <v>158</v>
      </c>
      <c r="D5" s="46" t="s">
        <v>1115</v>
      </c>
      <c r="E5" s="42" t="s">
        <v>151</v>
      </c>
      <c r="F5" s="42" t="s">
        <v>1116</v>
      </c>
      <c r="G5" s="42" t="s">
        <v>138</v>
      </c>
      <c r="H5" s="42" t="s">
        <v>138</v>
      </c>
      <c r="I5" s="42" t="s">
        <v>138</v>
      </c>
      <c r="J5" s="41">
        <v>24</v>
      </c>
      <c r="K5" s="42" t="s">
        <v>138</v>
      </c>
      <c r="L5" s="41">
        <v>94</v>
      </c>
      <c r="M5" s="102">
        <v>0.37</v>
      </c>
      <c r="N5" s="102">
        <v>0.42</v>
      </c>
      <c r="O5" s="42" t="s">
        <v>141</v>
      </c>
      <c r="P5" s="42">
        <v>12</v>
      </c>
      <c r="Q5" s="42" t="s">
        <v>990</v>
      </c>
      <c r="R5" s="42">
        <v>36</v>
      </c>
      <c r="S5" s="42" t="s">
        <v>1117</v>
      </c>
      <c r="T5" s="41" t="s">
        <v>1118</v>
      </c>
      <c r="U5" s="57" t="s">
        <v>141</v>
      </c>
      <c r="V5" s="397" t="s">
        <v>1119</v>
      </c>
      <c r="W5" s="42" t="s">
        <v>1120</v>
      </c>
      <c r="X5" s="139" t="s">
        <v>141</v>
      </c>
      <c r="Y5" s="46" t="s">
        <v>1121</v>
      </c>
      <c r="Z5" s="42" t="s">
        <v>1122</v>
      </c>
      <c r="AA5" s="42" t="s">
        <v>141</v>
      </c>
      <c r="AB5" s="250" t="s">
        <v>138</v>
      </c>
      <c r="AC5" s="42" t="s">
        <v>1123</v>
      </c>
      <c r="AD5" s="57" t="s">
        <v>141</v>
      </c>
      <c r="AE5" s="41" t="s">
        <v>1124</v>
      </c>
      <c r="AF5" s="42" t="s">
        <v>1125</v>
      </c>
      <c r="AG5" s="57" t="s">
        <v>141</v>
      </c>
      <c r="AH5" s="46" t="s">
        <v>1126</v>
      </c>
      <c r="AI5" s="42" t="s">
        <v>1127</v>
      </c>
      <c r="AJ5" s="57" t="s">
        <v>141</v>
      </c>
      <c r="AK5" s="46" t="s">
        <v>1126</v>
      </c>
      <c r="AL5" s="42" t="s">
        <v>141</v>
      </c>
      <c r="AM5" s="151" t="s">
        <v>150</v>
      </c>
      <c r="AN5" s="197">
        <v>1159</v>
      </c>
      <c r="AO5" s="197">
        <v>1541</v>
      </c>
      <c r="AP5" s="99">
        <v>1625</v>
      </c>
      <c r="AQ5" s="99">
        <v>41737</v>
      </c>
      <c r="AR5" s="99">
        <v>55505</v>
      </c>
      <c r="AS5" s="99">
        <v>58519</v>
      </c>
      <c r="AT5" s="273">
        <f t="shared" si="1"/>
        <v>4.5948990825688067</v>
      </c>
      <c r="AU5" s="273">
        <f t="shared" si="2"/>
        <v>6.1106422018348621</v>
      </c>
      <c r="AV5" s="273">
        <f t="shared" si="3"/>
        <v>6.4424587155963309</v>
      </c>
      <c r="AW5" s="57" t="s">
        <v>141</v>
      </c>
      <c r="AX5" s="42" t="s">
        <v>1128</v>
      </c>
      <c r="AY5" s="42" t="s">
        <v>138</v>
      </c>
      <c r="AZ5" s="42">
        <v>-5</v>
      </c>
      <c r="BA5" s="99">
        <v>46953</v>
      </c>
      <c r="BB5" s="46">
        <v>5</v>
      </c>
      <c r="BC5" s="42" t="s">
        <v>1129</v>
      </c>
      <c r="BD5" s="46" t="s">
        <v>1130</v>
      </c>
      <c r="BE5" s="42">
        <v>96</v>
      </c>
      <c r="BF5" s="166">
        <v>109000</v>
      </c>
      <c r="BG5" s="398" t="s">
        <v>138</v>
      </c>
      <c r="BH5" s="124">
        <f t="shared" si="4"/>
        <v>0.19405474345138821</v>
      </c>
      <c r="BI5" s="124">
        <f t="shared" si="5"/>
        <v>3.8235154732003222E-2</v>
      </c>
      <c r="BJ5" s="124">
        <f t="shared" si="6"/>
        <v>9.3992757028723076E-3</v>
      </c>
      <c r="BK5" s="124">
        <v>1159.3599999999999</v>
      </c>
      <c r="BL5" s="124">
        <v>1541.81</v>
      </c>
      <c r="BM5" s="124">
        <v>1625.53</v>
      </c>
      <c r="BN5" s="124">
        <v>41737</v>
      </c>
      <c r="BO5" s="124">
        <v>55505</v>
      </c>
      <c r="BP5" s="124">
        <v>58519</v>
      </c>
      <c r="BQ5" s="124" t="s">
        <v>1131</v>
      </c>
      <c r="BR5" s="124" t="s">
        <v>1075</v>
      </c>
    </row>
    <row r="6" spans="1:70">
      <c r="A6" s="141" t="s">
        <v>786</v>
      </c>
      <c r="B6" s="42" t="s">
        <v>787</v>
      </c>
      <c r="C6" s="42" t="s">
        <v>246</v>
      </c>
      <c r="D6" s="46" t="s">
        <v>1132</v>
      </c>
      <c r="E6" s="42" t="s">
        <v>481</v>
      </c>
      <c r="F6" s="42" t="s">
        <v>482</v>
      </c>
      <c r="G6" s="163" t="s">
        <v>138</v>
      </c>
      <c r="H6" s="163" t="s">
        <v>138</v>
      </c>
      <c r="I6" s="163" t="s">
        <v>138</v>
      </c>
      <c r="J6" s="163" t="s">
        <v>138</v>
      </c>
      <c r="K6" s="163" t="s">
        <v>138</v>
      </c>
      <c r="L6" s="79" t="s">
        <v>138</v>
      </c>
      <c r="M6" s="163" t="s">
        <v>138</v>
      </c>
      <c r="N6" s="163" t="s">
        <v>138</v>
      </c>
      <c r="O6" s="42" t="s">
        <v>141</v>
      </c>
      <c r="P6" s="42" t="s">
        <v>1133</v>
      </c>
      <c r="Q6" s="42" t="s">
        <v>990</v>
      </c>
      <c r="R6" s="42" t="s">
        <v>1134</v>
      </c>
      <c r="S6" s="42" t="s">
        <v>1135</v>
      </c>
      <c r="T6" s="41" t="s">
        <v>1136</v>
      </c>
      <c r="U6" s="57" t="s">
        <v>141</v>
      </c>
      <c r="V6" s="267" t="s">
        <v>138</v>
      </c>
      <c r="W6" s="42" t="s">
        <v>1137</v>
      </c>
      <c r="X6" s="139" t="s">
        <v>139</v>
      </c>
      <c r="Y6" s="42" t="s">
        <v>138</v>
      </c>
      <c r="Z6" s="42" t="s">
        <v>138</v>
      </c>
      <c r="AA6" s="42" t="s">
        <v>139</v>
      </c>
      <c r="AB6" s="42" t="s">
        <v>138</v>
      </c>
      <c r="AC6" s="42" t="s">
        <v>1138</v>
      </c>
      <c r="AD6" s="57" t="s">
        <v>141</v>
      </c>
      <c r="AE6" s="41" t="s">
        <v>1132</v>
      </c>
      <c r="AF6" s="42" t="s">
        <v>1139</v>
      </c>
      <c r="AG6" s="57" t="s">
        <v>141</v>
      </c>
      <c r="AH6" s="46" t="s">
        <v>1140</v>
      </c>
      <c r="AI6" s="42" t="s">
        <v>1141</v>
      </c>
      <c r="AJ6" s="57" t="s">
        <v>141</v>
      </c>
      <c r="AK6" s="46" t="s">
        <v>1142</v>
      </c>
      <c r="AL6" s="140" t="s">
        <v>141</v>
      </c>
      <c r="AM6" s="399" t="s">
        <v>1143</v>
      </c>
      <c r="AN6" s="99" t="s">
        <v>1144</v>
      </c>
      <c r="AO6" s="269" t="s">
        <v>1145</v>
      </c>
      <c r="AP6" s="269" t="s">
        <v>1146</v>
      </c>
      <c r="AQ6" s="99" t="s">
        <v>1147</v>
      </c>
      <c r="AR6" s="99" t="s">
        <v>1148</v>
      </c>
      <c r="AS6" s="99" t="s">
        <v>1149</v>
      </c>
      <c r="AT6" s="42" t="s">
        <v>138</v>
      </c>
      <c r="AU6" s="42" t="s">
        <v>138</v>
      </c>
      <c r="AV6" s="42" t="s">
        <v>138</v>
      </c>
      <c r="AW6" s="57" t="s">
        <v>141</v>
      </c>
      <c r="AX6" s="42" t="s">
        <v>138</v>
      </c>
      <c r="AY6" s="42" t="s">
        <v>138</v>
      </c>
      <c r="AZ6" s="42">
        <v>-0.3</v>
      </c>
      <c r="BA6" s="99">
        <v>54290</v>
      </c>
      <c r="BB6" s="46">
        <v>14</v>
      </c>
      <c r="BC6" s="42" t="s">
        <v>1150</v>
      </c>
      <c r="BD6" s="46">
        <v>43</v>
      </c>
      <c r="BE6" s="42" t="s">
        <v>138</v>
      </c>
      <c r="BF6" s="166" t="s">
        <v>138</v>
      </c>
      <c r="BG6" s="398" t="s">
        <v>138</v>
      </c>
      <c r="BH6" s="124" t="s">
        <v>138</v>
      </c>
      <c r="BI6" s="124" t="s">
        <v>138</v>
      </c>
      <c r="BJ6" s="124" t="s">
        <v>138</v>
      </c>
      <c r="BK6" s="124" t="s">
        <v>1151</v>
      </c>
      <c r="BL6" s="124" t="s">
        <v>1151</v>
      </c>
      <c r="BM6" s="124" t="s">
        <v>1151</v>
      </c>
      <c r="BN6" s="124">
        <v>40000</v>
      </c>
      <c r="BO6" s="124">
        <v>64000</v>
      </c>
      <c r="BP6" s="124">
        <v>67500</v>
      </c>
      <c r="BQ6" s="124" t="s">
        <v>1152</v>
      </c>
      <c r="BR6" s="124" t="s">
        <v>1075</v>
      </c>
    </row>
    <row r="7" spans="1:70">
      <c r="A7" s="141" t="s">
        <v>1153</v>
      </c>
      <c r="B7" s="42" t="s">
        <v>1154</v>
      </c>
      <c r="C7" s="42" t="s">
        <v>1155</v>
      </c>
      <c r="D7" s="46" t="s">
        <v>1156</v>
      </c>
      <c r="E7" s="42" t="s">
        <v>1157</v>
      </c>
      <c r="F7" s="42" t="s">
        <v>679</v>
      </c>
      <c r="G7" s="163" t="s">
        <v>138</v>
      </c>
      <c r="H7" s="163" t="s">
        <v>138</v>
      </c>
      <c r="I7" s="41">
        <v>3.7</v>
      </c>
      <c r="J7" s="41" t="s">
        <v>1158</v>
      </c>
      <c r="K7" s="41">
        <v>23</v>
      </c>
      <c r="L7" s="42" t="s">
        <v>138</v>
      </c>
      <c r="M7" s="163" t="s">
        <v>138</v>
      </c>
      <c r="N7" s="102">
        <v>0.4</v>
      </c>
      <c r="O7" s="42" t="s">
        <v>141</v>
      </c>
      <c r="P7" s="42">
        <v>12</v>
      </c>
      <c r="Q7" s="42" t="s">
        <v>1159</v>
      </c>
      <c r="R7" s="42">
        <v>36</v>
      </c>
      <c r="S7" s="42" t="s">
        <v>1160</v>
      </c>
      <c r="T7" s="41" t="s">
        <v>1161</v>
      </c>
      <c r="U7" s="57" t="s">
        <v>141</v>
      </c>
      <c r="V7" s="397" t="s">
        <v>1161</v>
      </c>
      <c r="W7" s="400" t="s">
        <v>1162</v>
      </c>
      <c r="X7" s="139" t="s">
        <v>141</v>
      </c>
      <c r="Y7" s="41" t="s">
        <v>1163</v>
      </c>
      <c r="Z7" s="42" t="s">
        <v>1164</v>
      </c>
      <c r="AA7" s="42" t="s">
        <v>139</v>
      </c>
      <c r="AB7" s="42" t="s">
        <v>138</v>
      </c>
      <c r="AC7" s="42" t="s">
        <v>138</v>
      </c>
      <c r="AD7" s="57" t="s">
        <v>141</v>
      </c>
      <c r="AE7" s="41" t="s">
        <v>1165</v>
      </c>
      <c r="AF7" s="42" t="s">
        <v>1166</v>
      </c>
      <c r="AG7" s="57" t="s">
        <v>141</v>
      </c>
      <c r="AH7" s="151" t="s">
        <v>1167</v>
      </c>
      <c r="AI7" s="150" t="s">
        <v>1168</v>
      </c>
      <c r="AJ7" s="57" t="s">
        <v>141</v>
      </c>
      <c r="AK7" s="151" t="s">
        <v>1169</v>
      </c>
      <c r="AL7" s="150" t="s">
        <v>139</v>
      </c>
      <c r="AM7" s="401" t="s">
        <v>138</v>
      </c>
      <c r="AN7" s="270">
        <v>2016</v>
      </c>
      <c r="AO7" s="270">
        <v>2016</v>
      </c>
      <c r="AP7" s="99">
        <v>2016</v>
      </c>
      <c r="AQ7" s="99">
        <v>72576</v>
      </c>
      <c r="AR7" s="99">
        <v>72576</v>
      </c>
      <c r="AS7" s="99">
        <v>72576</v>
      </c>
      <c r="AT7" s="42" t="s">
        <v>450</v>
      </c>
      <c r="AU7" s="42" t="s">
        <v>450</v>
      </c>
      <c r="AV7" s="42" t="s">
        <v>450</v>
      </c>
      <c r="AW7" s="57" t="s">
        <v>141</v>
      </c>
      <c r="AX7" s="42" t="s">
        <v>139</v>
      </c>
      <c r="AY7" s="42" t="s">
        <v>139</v>
      </c>
      <c r="AZ7" s="42">
        <v>120.9</v>
      </c>
      <c r="BA7" s="99">
        <v>113107</v>
      </c>
      <c r="BB7" s="46">
        <v>4</v>
      </c>
      <c r="BC7" s="42" t="s">
        <v>138</v>
      </c>
      <c r="BD7" s="250" t="s">
        <v>138</v>
      </c>
      <c r="BE7" s="42">
        <v>98</v>
      </c>
      <c r="BF7" s="402" t="s">
        <v>138</v>
      </c>
      <c r="BG7" s="398" t="s">
        <v>138</v>
      </c>
      <c r="BH7" s="124">
        <f t="shared" si="4"/>
        <v>-0.10635850411173477</v>
      </c>
      <c r="BI7" s="124">
        <f t="shared" si="5"/>
        <v>-0.10635850411173477</v>
      </c>
      <c r="BJ7" s="124">
        <f t="shared" si="6"/>
        <v>-0.10635850411173477</v>
      </c>
      <c r="BK7" s="124">
        <v>2016</v>
      </c>
      <c r="BL7" s="124">
        <v>2016</v>
      </c>
      <c r="BM7" s="124">
        <v>2016</v>
      </c>
      <c r="BN7" s="124">
        <v>72576</v>
      </c>
      <c r="BO7" s="124">
        <v>72576</v>
      </c>
      <c r="BP7" s="124">
        <v>72576</v>
      </c>
      <c r="BQ7" s="124" t="s">
        <v>1151</v>
      </c>
      <c r="BR7" s="124" t="s">
        <v>1170</v>
      </c>
    </row>
    <row r="8" spans="1:70">
      <c r="A8" s="141" t="s">
        <v>1171</v>
      </c>
      <c r="B8" s="42" t="s">
        <v>1172</v>
      </c>
      <c r="C8" s="42" t="s">
        <v>246</v>
      </c>
      <c r="D8" s="46" t="s">
        <v>1173</v>
      </c>
      <c r="E8" s="42" t="s">
        <v>530</v>
      </c>
      <c r="F8" s="42" t="s">
        <v>531</v>
      </c>
      <c r="G8" s="41">
        <v>700</v>
      </c>
      <c r="H8" s="46">
        <v>169</v>
      </c>
      <c r="I8" s="41">
        <v>3.7</v>
      </c>
      <c r="J8" s="41">
        <v>36</v>
      </c>
      <c r="K8" s="41">
        <v>23</v>
      </c>
      <c r="L8" s="41">
        <v>120</v>
      </c>
      <c r="M8" s="102">
        <v>0.77</v>
      </c>
      <c r="N8" s="102">
        <v>0.51</v>
      </c>
      <c r="O8" s="42" t="s">
        <v>141</v>
      </c>
      <c r="P8" s="42">
        <v>15</v>
      </c>
      <c r="Q8" s="42" t="s">
        <v>1097</v>
      </c>
      <c r="R8" s="42">
        <v>48</v>
      </c>
      <c r="S8" s="42" t="s">
        <v>1174</v>
      </c>
      <c r="T8" s="41" t="s">
        <v>1175</v>
      </c>
      <c r="U8" s="57" t="s">
        <v>141</v>
      </c>
      <c r="V8" s="397" t="s">
        <v>1176</v>
      </c>
      <c r="W8" s="400" t="s">
        <v>1177</v>
      </c>
      <c r="X8" s="139" t="s">
        <v>139</v>
      </c>
      <c r="Y8" s="42" t="s">
        <v>138</v>
      </c>
      <c r="Z8" s="42" t="s">
        <v>138</v>
      </c>
      <c r="AA8" s="42" t="s">
        <v>139</v>
      </c>
      <c r="AB8" s="42" t="s">
        <v>138</v>
      </c>
      <c r="AC8" s="42" t="s">
        <v>138</v>
      </c>
      <c r="AD8" s="57" t="s">
        <v>141</v>
      </c>
      <c r="AE8" s="41" t="s">
        <v>1178</v>
      </c>
      <c r="AF8" s="140" t="s">
        <v>1179</v>
      </c>
      <c r="AG8" s="57" t="s">
        <v>141</v>
      </c>
      <c r="AH8" s="46" t="s">
        <v>1178</v>
      </c>
      <c r="AI8" s="42" t="s">
        <v>1180</v>
      </c>
      <c r="AJ8" s="57" t="s">
        <v>141</v>
      </c>
      <c r="AK8" s="46" t="s">
        <v>1181</v>
      </c>
      <c r="AL8" s="42" t="s">
        <v>139</v>
      </c>
      <c r="AM8" s="42" t="s">
        <v>138</v>
      </c>
      <c r="AN8" s="271">
        <v>1876.59</v>
      </c>
      <c r="AO8" s="106">
        <v>1876.59</v>
      </c>
      <c r="AP8" s="106">
        <v>1876.59</v>
      </c>
      <c r="AQ8" s="272">
        <v>90076.42</v>
      </c>
      <c r="AR8" s="272">
        <v>90076.42</v>
      </c>
      <c r="AS8" s="272">
        <v>90076.42</v>
      </c>
      <c r="AT8" s="274">
        <f>(AQ8/(SUM($BF8:$BG8)))*12</f>
        <v>8.289940409083588</v>
      </c>
      <c r="AU8" s="274">
        <f t="shared" ref="AU8" si="7">(AR8/(SUM($BF8:$BG8)))*12</f>
        <v>8.289940409083588</v>
      </c>
      <c r="AV8" s="274">
        <f>(AS8/(SUM($BF8:$BG8)))*12</f>
        <v>8.289940409083588</v>
      </c>
      <c r="AW8" s="57" t="s">
        <v>141</v>
      </c>
      <c r="AX8" s="42" t="s">
        <v>138</v>
      </c>
      <c r="AY8" s="42" t="s">
        <v>138</v>
      </c>
      <c r="AZ8" s="42">
        <v>45</v>
      </c>
      <c r="BA8" s="99">
        <v>73141</v>
      </c>
      <c r="BB8" s="46">
        <v>17</v>
      </c>
      <c r="BC8" s="42" t="s">
        <v>138</v>
      </c>
      <c r="BD8" s="46">
        <v>2</v>
      </c>
      <c r="BE8" s="42">
        <v>100</v>
      </c>
      <c r="BF8" s="166">
        <v>115568</v>
      </c>
      <c r="BG8" s="398">
        <v>14821</v>
      </c>
      <c r="BH8" s="124">
        <f t="shared" si="4"/>
        <v>-0.21800542875096313</v>
      </c>
      <c r="BI8" s="124">
        <f t="shared" si="5"/>
        <v>-0.21800542875096313</v>
      </c>
      <c r="BJ8" s="124">
        <f t="shared" si="6"/>
        <v>-0.21800542875096313</v>
      </c>
      <c r="BK8" s="124" t="s">
        <v>1151</v>
      </c>
      <c r="BL8" s="124" t="s">
        <v>1151</v>
      </c>
      <c r="BM8" s="124" t="s">
        <v>1151</v>
      </c>
      <c r="BN8" s="124">
        <v>86661.2</v>
      </c>
      <c r="BO8" s="124">
        <v>86661.2</v>
      </c>
      <c r="BP8" s="124">
        <v>86661.2</v>
      </c>
      <c r="BQ8" s="124" t="s">
        <v>1182</v>
      </c>
      <c r="BR8" s="124" t="s">
        <v>1170</v>
      </c>
    </row>
    <row r="9" spans="1:70">
      <c r="A9" s="141" t="s">
        <v>526</v>
      </c>
      <c r="B9" s="42" t="s">
        <v>527</v>
      </c>
      <c r="C9" s="42" t="s">
        <v>246</v>
      </c>
      <c r="D9" s="46" t="s">
        <v>1183</v>
      </c>
      <c r="E9" s="42" t="s">
        <v>530</v>
      </c>
      <c r="F9" s="42" t="s">
        <v>531</v>
      </c>
      <c r="G9" s="163" t="s">
        <v>138</v>
      </c>
      <c r="H9" s="163" t="s">
        <v>138</v>
      </c>
      <c r="I9" s="163" t="s">
        <v>138</v>
      </c>
      <c r="J9" s="163" t="s">
        <v>138</v>
      </c>
      <c r="K9" s="163" t="s">
        <v>138</v>
      </c>
      <c r="L9" s="163" t="s">
        <v>138</v>
      </c>
      <c r="M9" s="163" t="s">
        <v>138</v>
      </c>
      <c r="N9" s="163" t="s">
        <v>138</v>
      </c>
      <c r="O9" s="42" t="s">
        <v>141</v>
      </c>
      <c r="P9" s="42">
        <v>16</v>
      </c>
      <c r="Q9" s="42" t="s">
        <v>1097</v>
      </c>
      <c r="R9" s="42">
        <v>33</v>
      </c>
      <c r="S9" s="42" t="s">
        <v>1184</v>
      </c>
      <c r="T9" s="41" t="s">
        <v>1183</v>
      </c>
      <c r="U9" s="57" t="s">
        <v>141</v>
      </c>
      <c r="V9" s="397" t="s">
        <v>1185</v>
      </c>
      <c r="W9" s="42" t="s">
        <v>1186</v>
      </c>
      <c r="X9" s="139" t="s">
        <v>139</v>
      </c>
      <c r="Y9" s="42" t="s">
        <v>138</v>
      </c>
      <c r="Z9" s="42" t="s">
        <v>138</v>
      </c>
      <c r="AA9" s="42" t="s">
        <v>139</v>
      </c>
      <c r="AB9" s="42" t="s">
        <v>138</v>
      </c>
      <c r="AC9" s="42" t="s">
        <v>138</v>
      </c>
      <c r="AD9" s="57" t="s">
        <v>141</v>
      </c>
      <c r="AE9" s="41" t="s">
        <v>1183</v>
      </c>
      <c r="AF9" s="140" t="s">
        <v>1187</v>
      </c>
      <c r="AG9" s="57" t="s">
        <v>141</v>
      </c>
      <c r="AH9" s="109" t="s">
        <v>1183</v>
      </c>
      <c r="AI9" s="83" t="s">
        <v>1188</v>
      </c>
      <c r="AJ9" s="57" t="s">
        <v>141</v>
      </c>
      <c r="AK9" s="46" t="s">
        <v>640</v>
      </c>
      <c r="AL9" s="42" t="s">
        <v>139</v>
      </c>
      <c r="AM9" s="42" t="s">
        <v>138</v>
      </c>
      <c r="AN9" s="139" t="s">
        <v>1189</v>
      </c>
      <c r="AO9" s="139" t="s">
        <v>1190</v>
      </c>
      <c r="AP9" s="139" t="s">
        <v>1191</v>
      </c>
      <c r="AQ9" s="99">
        <v>83648</v>
      </c>
      <c r="AR9" s="99">
        <v>83648</v>
      </c>
      <c r="AS9" s="99">
        <v>83648</v>
      </c>
      <c r="AT9" s="274">
        <f>(AQ9/(SUM($BF9:$BG9)))*12</f>
        <v>10.03776</v>
      </c>
      <c r="AU9" s="274">
        <f t="shared" ref="AU9" si="8">(AR9/(SUM($BF9:$BG9)))*12</f>
        <v>10.03776</v>
      </c>
      <c r="AV9" s="274">
        <f>(AS9/(SUM($BF9:$BG9)))*12</f>
        <v>10.03776</v>
      </c>
      <c r="AW9" s="57" t="s">
        <v>141</v>
      </c>
      <c r="AX9" s="42" t="s">
        <v>138</v>
      </c>
      <c r="AY9" s="42" t="s">
        <v>138</v>
      </c>
      <c r="AZ9" s="42">
        <v>45</v>
      </c>
      <c r="BA9" s="99">
        <v>73141</v>
      </c>
      <c r="BB9" s="46">
        <v>30</v>
      </c>
      <c r="BC9" s="42" t="s">
        <v>1192</v>
      </c>
      <c r="BD9" s="46">
        <v>14</v>
      </c>
      <c r="BE9" s="42" t="s">
        <v>138</v>
      </c>
      <c r="BF9" s="166">
        <v>100000</v>
      </c>
      <c r="BG9" s="398" t="s">
        <v>138</v>
      </c>
      <c r="BH9" s="124">
        <f t="shared" si="4"/>
        <v>-0.18039177541003232</v>
      </c>
      <c r="BI9" s="124">
        <f t="shared" si="5"/>
        <v>-0.18039177541003232</v>
      </c>
      <c r="BJ9" s="124">
        <f t="shared" si="6"/>
        <v>-0.18039177541003232</v>
      </c>
      <c r="BK9" s="124">
        <v>2541</v>
      </c>
      <c r="BL9" s="124">
        <v>2541</v>
      </c>
      <c r="BM9" s="124">
        <v>2541</v>
      </c>
      <c r="BN9" s="124">
        <v>83853</v>
      </c>
      <c r="BO9" s="124">
        <v>83853</v>
      </c>
      <c r="BP9" s="124">
        <v>83853</v>
      </c>
      <c r="BQ9" s="124" t="s">
        <v>1193</v>
      </c>
      <c r="BR9" s="124" t="s">
        <v>1075</v>
      </c>
    </row>
    <row r="14" spans="1:70">
      <c r="AN14" s="25" t="s">
        <v>1194</v>
      </c>
    </row>
  </sheetData>
  <hyperlinks>
    <hyperlink ref="D3" r:id="rId1" xr:uid="{60B980C9-A1ED-4720-AD11-C05E5B212C06}"/>
    <hyperlink ref="D4" r:id="rId2" xr:uid="{264C7AF9-4D8D-40D1-9815-3E6BDD0CE7A5}"/>
    <hyperlink ref="D5" r:id="rId3" xr:uid="{F56E4DF7-7D59-44EC-937C-72994A3C341E}"/>
    <hyperlink ref="D6" r:id="rId4" xr:uid="{BD626699-A153-4ABA-BFEC-BB9DC3500E0E}"/>
    <hyperlink ref="D8" r:id="rId5" xr:uid="{1BBCE7E6-19DE-4B18-A995-86785FE93E12}"/>
    <hyperlink ref="D9" r:id="rId6" xr:uid="{E858C14B-C076-4860-BAA1-E139B8D7D340}"/>
    <hyperlink ref="D7" r:id="rId7" xr:uid="{64D92D0D-DB1F-4922-A2D4-551B4023BD67}"/>
    <hyperlink ref="BD3" r:id="rId8" display="12" xr:uid="{CF21D47F-7163-4285-923C-00DE3F177193}"/>
    <hyperlink ref="BD4" r:id="rId9" display="26" xr:uid="{1E629CA7-C775-4FD0-A829-38F2A8CF7B90}"/>
    <hyperlink ref="BD5" r:id="rId10" xr:uid="{ABF67662-58D5-4E8C-B5F4-AD402155760A}"/>
    <hyperlink ref="BD6" r:id="rId11" display="43" xr:uid="{D81E9CE1-461C-41FA-BF67-76738E32C026}"/>
    <hyperlink ref="BD7" r:id="rId12" xr:uid="{EFA46064-BCD1-40EF-ABC1-BACFD1C615A0}"/>
    <hyperlink ref="BD8" r:id="rId13" display="2" xr:uid="{AEE96A33-7077-4FC0-B1F9-A6AED1DB7902}"/>
    <hyperlink ref="BD9" r:id="rId14" display="14" xr:uid="{9EAF505E-457E-448A-9078-823D60067276}"/>
    <hyperlink ref="BB3" r:id="rId15" display="8" xr:uid="{22BF8723-A9BB-4A26-BF50-41A5A9B6EA4A}"/>
    <hyperlink ref="BB4" r:id="rId16" xr:uid="{732383E5-BA20-41AE-90C7-0C7CF784CD1C}"/>
    <hyperlink ref="BB5" r:id="rId17" display="5" xr:uid="{AC2EECB1-92D9-430B-8BEE-5B8CF34213BA}"/>
    <hyperlink ref="BB6" r:id="rId18" display="14" xr:uid="{1C2F1328-CCCA-48EF-B0D0-D88FE0BD40D1}"/>
    <hyperlink ref="BB7" r:id="rId19" display="4" xr:uid="{13C269B7-1173-4596-82FE-9933FE616D60}"/>
    <hyperlink ref="BB8" r:id="rId20" display="17" xr:uid="{E7161012-D88E-42C1-9937-63FD5D585BBB}"/>
    <hyperlink ref="BB9" r:id="rId21" display="30" xr:uid="{8FFC0FC4-E8FF-4107-B346-E1DC7052E2D5}"/>
    <hyperlink ref="BD2" r:id="rId22" display="23" xr:uid="{11FD4D31-E4C1-4E2B-AC08-B193A87D35C9}"/>
    <hyperlink ref="BB2" r:id="rId23" display="13" xr:uid="{73027690-15FF-4291-87E9-E271EF4A6EE8}"/>
    <hyperlink ref="D2" r:id="rId24" xr:uid="{EC52163C-BF32-47B1-A837-542FE83A346B}"/>
    <hyperlink ref="T2" r:id="rId25" xr:uid="{19A0CE5A-0FFA-4FEA-9C50-32CC554F99B6}"/>
    <hyperlink ref="V2" r:id="rId26" xr:uid="{6986D8FF-FAF4-40C7-B473-2AE83B0BC24C}"/>
    <hyperlink ref="AE2" r:id="rId27" xr:uid="{4AC7E5D5-4AF7-4D6F-8292-703E46B82E5B}"/>
    <hyperlink ref="Y2" r:id="rId28" xr:uid="{37F73BB2-7634-486F-A291-84EC1F322FCB}"/>
    <hyperlink ref="AB2" r:id="rId29" xr:uid="{29D8C80A-1457-4292-9A18-B24E0368BA46}"/>
    <hyperlink ref="AH2" r:id="rId30" xr:uid="{48100553-FF2E-407A-8C4F-1A67119527E9}"/>
    <hyperlink ref="AK2" r:id="rId31" xr:uid="{F2E52A83-C489-4B58-BCC7-DAAAEDD0F33F}"/>
    <hyperlink ref="AS2" r:id="rId32" display="$56,700 " xr:uid="{DEC46133-52AA-4594-9DF9-DBABEE376FE3}"/>
    <hyperlink ref="AR2" r:id="rId33" display="$55,330 " xr:uid="{45FACBA2-F7A4-4325-B3FA-42253E47C9AC}"/>
    <hyperlink ref="AQ2" r:id="rId34" display="$54,930 " xr:uid="{2F364A0D-E0BF-405A-8304-8D7E625EDEE0}"/>
    <hyperlink ref="I3" r:id="rId35" location=":~:text=Class%20of%202025%20Profile" display="3.69" xr:uid="{BEC7ECCB-B1C2-4371-A62A-78878C71E4B0}"/>
    <hyperlink ref="G3" r:id="rId36" location=":~:text=Class%20of%202025%20Profile" display="674" xr:uid="{4D509463-C6EE-47C5-9DD6-E05E26C080E2}"/>
    <hyperlink ref="N3" r:id="rId37" location=":~:text=Class%20of%202025%20Profile" display="43%" xr:uid="{1ECED72B-705E-43D9-9E35-B7068F7E1865}"/>
    <hyperlink ref="K3" r:id="rId38" location=":~:text=29" display="25" xr:uid="{145C215C-158F-4D08-A855-C3D926E18E68}"/>
    <hyperlink ref="M3" r:id="rId39" location=":~:text=29" display="71%" xr:uid="{7A7F5746-D25B-48E4-B19B-A726E06BFA44}"/>
    <hyperlink ref="T3" r:id="rId40" xr:uid="{11EE156E-8F82-40FF-B3A3-EEAA5B5BA6F9}"/>
    <hyperlink ref="V3" r:id="rId41" xr:uid="{1FB8F40A-CD94-45C3-8B44-78CA50B0BB75}"/>
    <hyperlink ref="AE3" r:id="rId42" xr:uid="{0A3DB03D-5A7F-4010-A59C-1672422F1F2A}"/>
    <hyperlink ref="AH3" r:id="rId43" xr:uid="{E36A3D2A-D47F-4CEE-BC6B-B9C9B31046A6}"/>
    <hyperlink ref="AK3" r:id="rId44" xr:uid="{1B9D875B-5E1A-4CF7-AFFF-75B0F54BD177}"/>
    <hyperlink ref="AM3" r:id="rId45" xr:uid="{F48150F2-7AB6-41DC-8719-4D13C3F77172}"/>
    <hyperlink ref="G4" r:id="rId46" location=":~:text=Metric%20Value%20Average%20GMAT%20Score,3%20Average%20Age%2025" display="690" xr:uid="{170E0DD4-72AC-414F-B4AA-8236CB7B0918}"/>
    <hyperlink ref="I4" r:id="rId47" location=":~:text=Metric%20Value%20Average%20GMAT%20Score,3%20Average%20Age%2025" xr:uid="{182CFDF8-0CB3-4087-A6E2-5BAE0167FF43}"/>
    <hyperlink ref="J4" r:id="rId48" location=":~:text=Metric%20Value%20Average%20GMAT%20Score,3%20Average%20Age%2025" display="39" xr:uid="{55A92077-EF00-4045-BB5C-ECABD5791F3D}"/>
    <hyperlink ref="K4" r:id="rId49" location=":~:text=Metric%20Value%20Average%20GMAT%20Score,3%20Average%20Age%2025" display="25" xr:uid="{69C1AECE-7A4B-4024-B926-CA768ED529D1}"/>
    <hyperlink ref="H4" r:id="rId50" display="320" xr:uid="{0B78D832-C146-475C-9211-EC1A55972EB9}"/>
    <hyperlink ref="M4" r:id="rId51" display="87%" xr:uid="{BAC76D90-930A-4181-B6BA-4394D2426807}"/>
    <hyperlink ref="N4" r:id="rId52" display="40%" xr:uid="{CD5E71C1-C4B1-4824-B567-EA5C2D01BC84}"/>
    <hyperlink ref="T4" r:id="rId53" xr:uid="{3FDCA786-6D35-4142-95C5-CB0B472132A7}"/>
    <hyperlink ref="V4" r:id="rId54" xr:uid="{77829EB7-4C2F-4B44-82A4-80402D68CC94}"/>
    <hyperlink ref="AE4" r:id="rId55" xr:uid="{D28BE5A0-4974-44E4-AFEB-84F9390387E4}"/>
    <hyperlink ref="Y4" r:id="rId56" xr:uid="{163734F0-4E94-45BF-B059-BA43E366DB2B}"/>
    <hyperlink ref="AB4" r:id="rId57" xr:uid="{9E2496AB-BA83-4DC6-987A-96107F8A9EED}"/>
    <hyperlink ref="AH4" r:id="rId58" xr:uid="{FE7B113F-A4B4-49CC-870A-99E5B17CCF71}"/>
    <hyperlink ref="AK4" r:id="rId59" xr:uid="{2CD4320D-16C7-4636-81A5-D221A17E0C3A}"/>
    <hyperlink ref="T5" r:id="rId60" location=":~:text=The%20MS%20Analytics%20curriculum%20is,integrating%20these%20interdisciplinary%20skills%20to" xr:uid="{054D84BE-D1AA-4630-A23E-2262DACB5771}"/>
    <hyperlink ref="J5" r:id="rId61" location=":~:text=Work%20Experience" display="24" xr:uid="{45F78CBE-5F88-4D04-B9C6-D6C9A38E25B9}"/>
    <hyperlink ref="L5" r:id="rId62" location=":~:text=Work%20Experience" display="94" xr:uid="{BB3BD786-6E72-49D0-8E44-7DB422D1849E}"/>
    <hyperlink ref="M5" r:id="rId63" location=":~:text=Work%20Experience" display="37%" xr:uid="{69EDEDCC-BF38-444C-9E2B-1A2A179629BA}"/>
    <hyperlink ref="N5" r:id="rId64" location=":~:text=Work%20Experience" display="42%" xr:uid="{D8EA963B-636A-479F-8E8B-960782A126CD}"/>
    <hyperlink ref="V5" r:id="rId65" display="https://www.analytics.gatech.edu/prospective-students                      https://www.gatech.edu/life/student-activities" xr:uid="{7E0465AD-8535-418D-954E-7157F0742A58}"/>
    <hyperlink ref="AE5" r:id="rId66" xr:uid="{C481A35D-D171-438B-9FB4-5883CC154886}"/>
    <hyperlink ref="Y5" r:id="rId67" xr:uid="{C9B2E06C-D4D0-4B11-BF8E-6BF926EFDCB2}"/>
    <hyperlink ref="AM5" r:id="rId68" xr:uid="{D3233254-2B99-41DF-BB88-C2C29CA71285}"/>
    <hyperlink ref="AK5" r:id="rId69" xr:uid="{5C1A25F3-7542-41ED-8DE2-789B8F5ABA01}"/>
    <hyperlink ref="AH5" r:id="rId70" xr:uid="{ACE11B02-8497-4880-B4B1-1577D9ACDA2A}"/>
    <hyperlink ref="T6" r:id="rId71" location="academics" xr:uid="{E02A8DD0-6485-4B2E-9E74-EFC2987762AF}"/>
    <hyperlink ref="AM6" r:id="rId72" xr:uid="{8B9ABC04-8B3F-49E1-A80F-A70959DE113E}"/>
    <hyperlink ref="AK6" r:id="rId73" xr:uid="{D0B9C9E3-B514-4666-B66F-D863EBDC3421}"/>
    <hyperlink ref="AH6" r:id="rId74" xr:uid="{89C5B1B7-AAF3-4598-A575-5CAC95C0EA92}"/>
    <hyperlink ref="AE6" r:id="rId75" xr:uid="{ED72536C-8B75-434D-94A7-D7B12F8C8F4F}"/>
    <hyperlink ref="G8" r:id="rId76" display="700" xr:uid="{80261E77-AC4F-49BA-BA9D-F1A75709FE06}"/>
    <hyperlink ref="H8" r:id="rId77" display="169" xr:uid="{3CB5097D-031B-40D7-B51D-E680D84B4666}"/>
    <hyperlink ref="I8" r:id="rId78" display="3.7" xr:uid="{6EEC328A-CD49-4C6D-B26B-47EFDD8823DE}"/>
    <hyperlink ref="J8" r:id="rId79" display="36" xr:uid="{793BCBC8-FB2F-4B8B-B21E-AE20DBB0D9BF}"/>
    <hyperlink ref="K8" r:id="rId80" display="23" xr:uid="{AE3A7FFE-BE6F-4CA2-8A04-84C63B80BE2E}"/>
    <hyperlink ref="L8" r:id="rId81" display="120" xr:uid="{6F10F971-B40E-4D21-88D8-EF733A1C9D30}"/>
    <hyperlink ref="M8" r:id="rId82" display="77%" xr:uid="{AAFEDC4D-1F37-43A2-A2E0-D1C9420641B7}"/>
    <hyperlink ref="N8" r:id="rId83" display="51%" xr:uid="{4377A2FA-5D6F-4619-8F3B-A12A8B143484}"/>
    <hyperlink ref="T8" r:id="rId84" xr:uid="{ACB57C4A-8AAF-4018-A520-8C567C1AD6F6}"/>
    <hyperlink ref="V8" r:id="rId85" location="career" xr:uid="{7BC98E9B-73BD-4D6E-A103-7E4C47AAE801}"/>
    <hyperlink ref="AE8" r:id="rId86" xr:uid="{41D2308F-4AAB-4BA1-BF60-42101EA51385}"/>
    <hyperlink ref="AH8" r:id="rId87" xr:uid="{E302A44E-6003-4DBD-A7C0-5E2CEAC4A6E3}"/>
    <hyperlink ref="AK8" r:id="rId88" xr:uid="{48D4EBEE-BAAD-47F7-8515-8AFAE4C6C999}"/>
    <hyperlink ref="T9" r:id="rId89" xr:uid="{AF1FC4C1-8974-4047-A5EA-13D19CD2C8F5}"/>
    <hyperlink ref="V9" r:id="rId90" xr:uid="{A17AEE00-FD8E-4233-A182-A3C56D6AB43A}"/>
    <hyperlink ref="AE9" r:id="rId91" xr:uid="{4E12FAD0-ECAF-486D-8499-1A42226269A3}"/>
    <hyperlink ref="AH9" r:id="rId92" xr:uid="{4C0398D7-DBF7-4E2C-80CE-D5C417BC3D82}"/>
    <hyperlink ref="AK9" r:id="rId93" xr:uid="{3EC6471B-451E-4001-816F-4B78BFBE7AE7}"/>
    <hyperlink ref="I7" r:id="rId94" display="3.7" xr:uid="{4432125D-5E48-493E-963A-10DAA79C0F93}"/>
    <hyperlink ref="J7" r:id="rId95" xr:uid="{F1969B43-7860-419F-A34F-FD5AB7692FC0}"/>
    <hyperlink ref="K7" r:id="rId96" display="23" xr:uid="{1F3B320A-5E47-46C8-B78C-64460CA30A1F}"/>
    <hyperlink ref="N7" r:id="rId97" display="40%" xr:uid="{2B819F17-2DD8-4D48-B9D1-0C275C09B2D8}"/>
    <hyperlink ref="T7" r:id="rId98" xr:uid="{AE9DF4E7-FF57-4146-B386-D4B10631736D}"/>
    <hyperlink ref="AK7" r:id="rId99" xr:uid="{B8E5E3D7-7F91-45AA-A09A-C64390FA6259}"/>
    <hyperlink ref="V7" r:id="rId100" xr:uid="{A281B868-A83C-466F-9700-28B061B31512}"/>
    <hyperlink ref="Y7" r:id="rId101" xr:uid="{8148EE4C-8E18-4FC7-87C8-1184BB4F6116}"/>
    <hyperlink ref="AE7" r:id="rId102" xr:uid="{BAF3586B-F19D-4303-B415-3FCBB3E70F40}"/>
    <hyperlink ref="AH7" r:id="rId103" location=":~:text=Our%20programs%20consist%20of%20full,the%20Chinese%20Ministry%20of%20Education" xr:uid="{D7B0A8C2-B6A6-41D5-BDEE-7658C84E2BD4}"/>
    <hyperlink ref="BF7" r:id="rId104" location=":~:text=Employment%20Statistics%20,Office%20of%20Career%20Development%20website" xr:uid="{27B5F024-A284-4879-BC40-F0692CAF355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58D2-21DC-4B05-8A46-AA2925B10743}">
  <sheetPr>
    <tabColor rgb="FFFFFF00"/>
  </sheetPr>
  <dimension ref="A1:BS14"/>
  <sheetViews>
    <sheetView workbookViewId="0">
      <pane xSplit="1" ySplit="1" topLeftCell="W2" activePane="bottomRight" state="frozen"/>
      <selection pane="bottomRight" activeCell="AB19" sqref="AB19"/>
      <selection pane="bottomLeft"/>
      <selection pane="topRight"/>
    </sheetView>
  </sheetViews>
  <sheetFormatPr defaultColWidth="20.5703125" defaultRowHeight="15"/>
  <cols>
    <col min="1" max="45" width="20.5703125" style="25"/>
    <col min="46" max="46" width="20.5703125" style="49"/>
    <col min="47" max="16384" width="20.5703125" style="25"/>
  </cols>
  <sheetData>
    <row r="1" spans="1:71" s="58" customFormat="1" ht="36.75" customHeight="1">
      <c r="A1" s="141" t="s">
        <v>4</v>
      </c>
      <c r="B1" s="141" t="s">
        <v>117</v>
      </c>
      <c r="C1" s="141" t="s">
        <v>7</v>
      </c>
      <c r="D1" s="141" t="s">
        <v>11</v>
      </c>
      <c r="E1" s="141" t="s">
        <v>82</v>
      </c>
      <c r="F1" s="141" t="s">
        <v>83</v>
      </c>
      <c r="G1" s="141" t="s">
        <v>84</v>
      </c>
      <c r="H1" s="141" t="s">
        <v>85</v>
      </c>
      <c r="I1" s="141" t="s">
        <v>14</v>
      </c>
      <c r="J1" s="141" t="s">
        <v>86</v>
      </c>
      <c r="K1" s="141" t="s">
        <v>20</v>
      </c>
      <c r="L1" s="141" t="s">
        <v>21</v>
      </c>
      <c r="M1" s="141" t="s">
        <v>25</v>
      </c>
      <c r="N1" s="141" t="s">
        <v>27</v>
      </c>
      <c r="O1" s="141" t="s">
        <v>28</v>
      </c>
      <c r="P1" s="91" t="s">
        <v>30</v>
      </c>
      <c r="Q1" s="141" t="s">
        <v>118</v>
      </c>
      <c r="R1" s="141" t="s">
        <v>38</v>
      </c>
      <c r="S1" s="141" t="s">
        <v>119</v>
      </c>
      <c r="T1" s="141" t="s">
        <v>952</v>
      </c>
      <c r="U1" s="141" t="s">
        <v>953</v>
      </c>
      <c r="V1" s="141" t="s">
        <v>954</v>
      </c>
      <c r="W1" s="141" t="s">
        <v>955</v>
      </c>
      <c r="X1" s="141" t="s">
        <v>956</v>
      </c>
      <c r="Y1" s="141" t="s">
        <v>957</v>
      </c>
      <c r="Z1" s="141" t="s">
        <v>958</v>
      </c>
      <c r="AA1" s="141" t="s">
        <v>959</v>
      </c>
      <c r="AB1" s="141" t="s">
        <v>960</v>
      </c>
      <c r="AC1" s="141" t="s">
        <v>961</v>
      </c>
      <c r="AD1" s="141" t="s">
        <v>87</v>
      </c>
      <c r="AE1" s="107" t="s">
        <v>88</v>
      </c>
      <c r="AF1" s="107" t="s">
        <v>89</v>
      </c>
      <c r="AG1" s="141" t="s">
        <v>963</v>
      </c>
      <c r="AH1" s="141" t="s">
        <v>964</v>
      </c>
      <c r="AI1" s="141" t="s">
        <v>965</v>
      </c>
      <c r="AJ1" s="141" t="s">
        <v>269</v>
      </c>
      <c r="AK1" s="141" t="s">
        <v>270</v>
      </c>
      <c r="AL1" s="141" t="s">
        <v>966</v>
      </c>
      <c r="AM1" s="141" t="s">
        <v>967</v>
      </c>
      <c r="AN1" s="141" t="s">
        <v>94</v>
      </c>
      <c r="AO1" s="141" t="s">
        <v>95</v>
      </c>
      <c r="AP1" s="141" t="s">
        <v>96</v>
      </c>
      <c r="AQ1" s="141" t="s">
        <v>97</v>
      </c>
      <c r="AR1" s="141" t="s">
        <v>98</v>
      </c>
      <c r="AS1" s="141" t="s">
        <v>99</v>
      </c>
      <c r="AT1" s="161" t="s">
        <v>126</v>
      </c>
      <c r="AU1" s="141" t="s">
        <v>127</v>
      </c>
      <c r="AV1" s="141" t="s">
        <v>128</v>
      </c>
      <c r="AW1" s="141" t="s">
        <v>968</v>
      </c>
      <c r="AX1" s="141" t="s">
        <v>68</v>
      </c>
      <c r="AY1" s="141" t="s">
        <v>70</v>
      </c>
      <c r="AZ1" s="141" t="s">
        <v>74</v>
      </c>
      <c r="BA1" s="141" t="s">
        <v>76</v>
      </c>
      <c r="BB1" s="141" t="s">
        <v>62</v>
      </c>
      <c r="BC1" s="141" t="s">
        <v>64</v>
      </c>
      <c r="BD1" s="141" t="s">
        <v>101</v>
      </c>
      <c r="BE1" s="141" t="s">
        <v>102</v>
      </c>
      <c r="BF1" s="141" t="s">
        <v>69</v>
      </c>
      <c r="BG1" s="141" t="s">
        <v>71</v>
      </c>
      <c r="BH1" s="387" t="s">
        <v>969</v>
      </c>
      <c r="BI1" s="387" t="s">
        <v>970</v>
      </c>
      <c r="BJ1" s="387" t="s">
        <v>971</v>
      </c>
      <c r="BK1" s="141" t="s">
        <v>1055</v>
      </c>
      <c r="BL1" s="141" t="s">
        <v>1056</v>
      </c>
      <c r="BM1" s="141" t="s">
        <v>1057</v>
      </c>
      <c r="BN1" s="141" t="s">
        <v>1058</v>
      </c>
      <c r="BO1" s="141" t="s">
        <v>1059</v>
      </c>
      <c r="BP1" s="141" t="s">
        <v>1060</v>
      </c>
      <c r="BQ1" s="141" t="s">
        <v>1062</v>
      </c>
      <c r="BR1" s="141"/>
      <c r="BS1" s="141"/>
    </row>
    <row r="2" spans="1:71" s="52" customFormat="1">
      <c r="A2" s="141" t="s">
        <v>132</v>
      </c>
      <c r="B2" s="57" t="s">
        <v>133</v>
      </c>
      <c r="C2" s="57" t="s">
        <v>1195</v>
      </c>
      <c r="D2" s="73" t="s">
        <v>1196</v>
      </c>
      <c r="E2" s="57" t="s">
        <v>136</v>
      </c>
      <c r="F2" s="57" t="s">
        <v>137</v>
      </c>
      <c r="G2" s="57">
        <v>630</v>
      </c>
      <c r="H2" s="57" t="s">
        <v>1197</v>
      </c>
      <c r="I2" s="73">
        <v>3.2</v>
      </c>
      <c r="J2" s="164" t="s">
        <v>1198</v>
      </c>
      <c r="K2" s="57">
        <v>24</v>
      </c>
      <c r="L2" s="57">
        <v>30</v>
      </c>
      <c r="M2" s="146">
        <v>0.76</v>
      </c>
      <c r="N2" s="74">
        <v>0.38</v>
      </c>
      <c r="O2" s="57" t="s">
        <v>141</v>
      </c>
      <c r="P2" s="165">
        <v>10</v>
      </c>
      <c r="Q2" s="57" t="s">
        <v>1080</v>
      </c>
      <c r="R2" s="57">
        <v>36</v>
      </c>
      <c r="S2" s="57" t="s">
        <v>1199</v>
      </c>
      <c r="T2" s="73" t="s">
        <v>1200</v>
      </c>
      <c r="U2" s="57" t="s">
        <v>141</v>
      </c>
      <c r="V2" s="155" t="s">
        <v>979</v>
      </c>
      <c r="W2" s="62" t="s">
        <v>1201</v>
      </c>
      <c r="X2" s="62" t="s">
        <v>141</v>
      </c>
      <c r="Y2" s="385" t="s">
        <v>979</v>
      </c>
      <c r="Z2" s="62" t="s">
        <v>981</v>
      </c>
      <c r="AA2" s="62" t="s">
        <v>141</v>
      </c>
      <c r="AB2" s="385" t="s">
        <v>979</v>
      </c>
      <c r="AC2" s="62" t="s">
        <v>1202</v>
      </c>
      <c r="AD2" s="57" t="s">
        <v>141</v>
      </c>
      <c r="AE2" s="73" t="s">
        <v>1203</v>
      </c>
      <c r="AF2" s="57" t="s">
        <v>1204</v>
      </c>
      <c r="AG2" s="57" t="s">
        <v>141</v>
      </c>
      <c r="AH2" s="73" t="s">
        <v>1203</v>
      </c>
      <c r="AI2" s="57" t="s">
        <v>1205</v>
      </c>
      <c r="AJ2" s="57" t="s">
        <v>141</v>
      </c>
      <c r="AK2" s="385" t="s">
        <v>1203</v>
      </c>
      <c r="AL2" s="57" t="s">
        <v>139</v>
      </c>
      <c r="AM2" s="57" t="s">
        <v>138</v>
      </c>
      <c r="AN2" s="160">
        <v>696</v>
      </c>
      <c r="AO2" s="160">
        <v>998</v>
      </c>
      <c r="AP2" s="160">
        <v>1370</v>
      </c>
      <c r="AQ2" s="160">
        <v>25056</v>
      </c>
      <c r="AR2" s="336">
        <v>35928</v>
      </c>
      <c r="AS2" s="160">
        <v>49320</v>
      </c>
      <c r="AT2" s="162">
        <v>3.5843356979999998</v>
      </c>
      <c r="AU2" s="162">
        <v>5.139607796</v>
      </c>
      <c r="AV2" s="162">
        <v>7.0553734280000002</v>
      </c>
      <c r="AW2" s="57" t="s">
        <v>141</v>
      </c>
      <c r="AX2" s="57" t="s">
        <v>141</v>
      </c>
      <c r="AY2" s="57" t="s">
        <v>141</v>
      </c>
      <c r="AZ2" s="57" t="s">
        <v>1206</v>
      </c>
      <c r="BA2" s="148">
        <v>50000</v>
      </c>
      <c r="BB2" s="73">
        <v>51</v>
      </c>
      <c r="BC2" s="73">
        <v>5</v>
      </c>
      <c r="BD2" s="73">
        <v>57</v>
      </c>
      <c r="BE2" s="146">
        <v>0.84</v>
      </c>
      <c r="BF2" s="160">
        <v>78564</v>
      </c>
      <c r="BG2" s="160">
        <v>5321</v>
      </c>
      <c r="BH2" s="124">
        <v>4.6738435000000002E-2</v>
      </c>
      <c r="BI2" s="124">
        <v>-8.5699655999999999E-2</v>
      </c>
      <c r="BJ2" s="124">
        <v>-0.20898107099999999</v>
      </c>
      <c r="BK2" s="166">
        <v>1049</v>
      </c>
      <c r="BL2" s="166">
        <v>1049</v>
      </c>
      <c r="BM2" s="166">
        <v>1049</v>
      </c>
      <c r="BN2" s="166">
        <v>37764</v>
      </c>
      <c r="BO2" s="166">
        <v>37764</v>
      </c>
      <c r="BP2" s="166">
        <v>38764</v>
      </c>
      <c r="BQ2" s="166" t="s">
        <v>1170</v>
      </c>
    </row>
    <row r="3" spans="1:71" ht="33.75" customHeight="1">
      <c r="A3" s="141" t="s">
        <v>860</v>
      </c>
      <c r="B3" s="42" t="s">
        <v>861</v>
      </c>
      <c r="C3" s="42" t="s">
        <v>1195</v>
      </c>
      <c r="D3" s="46" t="s">
        <v>1207</v>
      </c>
      <c r="E3" s="42" t="s">
        <v>864</v>
      </c>
      <c r="F3" s="42" t="s">
        <v>231</v>
      </c>
      <c r="G3" s="42">
        <v>680</v>
      </c>
      <c r="H3" s="42">
        <v>320</v>
      </c>
      <c r="I3" s="42">
        <v>3.37</v>
      </c>
      <c r="J3" s="42" t="s">
        <v>1208</v>
      </c>
      <c r="K3" s="42">
        <v>23</v>
      </c>
      <c r="L3" s="42">
        <v>130</v>
      </c>
      <c r="M3" s="42" t="s">
        <v>138</v>
      </c>
      <c r="N3" s="53">
        <v>0.47</v>
      </c>
      <c r="O3" s="42" t="s">
        <v>141</v>
      </c>
      <c r="P3" s="150">
        <v>15</v>
      </c>
      <c r="Q3" s="150" t="s">
        <v>976</v>
      </c>
      <c r="R3" s="42">
        <v>40</v>
      </c>
      <c r="S3" s="35" t="s">
        <v>1209</v>
      </c>
      <c r="T3" s="41" t="s">
        <v>1210</v>
      </c>
      <c r="U3" s="42" t="s">
        <v>141</v>
      </c>
      <c r="V3" s="41" t="s">
        <v>1211</v>
      </c>
      <c r="W3" s="42" t="s">
        <v>1212</v>
      </c>
      <c r="X3" s="42" t="s">
        <v>141</v>
      </c>
      <c r="Y3" s="41" t="s">
        <v>1213</v>
      </c>
      <c r="Z3" s="42" t="s">
        <v>1214</v>
      </c>
      <c r="AA3" s="42" t="s">
        <v>237</v>
      </c>
      <c r="AB3" s="46" t="s">
        <v>1215</v>
      </c>
      <c r="AC3" s="42" t="s">
        <v>1216</v>
      </c>
      <c r="AD3" s="42" t="s">
        <v>141</v>
      </c>
      <c r="AE3" s="41" t="s">
        <v>595</v>
      </c>
      <c r="AF3" s="42" t="s">
        <v>1217</v>
      </c>
      <c r="AG3" s="42" t="s">
        <v>141</v>
      </c>
      <c r="AH3" s="46" t="s">
        <v>1218</v>
      </c>
      <c r="AI3" s="42" t="s">
        <v>1219</v>
      </c>
      <c r="AJ3" s="42" t="s">
        <v>141</v>
      </c>
      <c r="AK3" s="44" t="s">
        <v>1218</v>
      </c>
      <c r="AL3" s="57" t="s">
        <v>139</v>
      </c>
      <c r="AM3" s="57" t="s">
        <v>138</v>
      </c>
      <c r="AN3" s="166">
        <v>1695</v>
      </c>
      <c r="AO3" s="166">
        <v>1695</v>
      </c>
      <c r="AP3" s="166">
        <v>1695</v>
      </c>
      <c r="AQ3" s="166">
        <v>67800</v>
      </c>
      <c r="AR3" s="166">
        <v>67800</v>
      </c>
      <c r="AS3" s="166">
        <v>67800</v>
      </c>
      <c r="AT3" s="138" t="s">
        <v>138</v>
      </c>
      <c r="AU3" s="138" t="s">
        <v>138</v>
      </c>
      <c r="AV3" s="138" t="s">
        <v>138</v>
      </c>
      <c r="AW3" s="42" t="s">
        <v>141</v>
      </c>
      <c r="AX3" s="42" t="s">
        <v>141</v>
      </c>
      <c r="AY3" s="42" t="s">
        <v>243</v>
      </c>
      <c r="AZ3" s="57" t="s">
        <v>1220</v>
      </c>
      <c r="BA3" s="148">
        <v>46318</v>
      </c>
      <c r="BB3" s="41">
        <v>13</v>
      </c>
      <c r="BC3" s="41">
        <v>15</v>
      </c>
      <c r="BD3" s="73">
        <v>55</v>
      </c>
      <c r="BE3" s="53">
        <v>0.93</v>
      </c>
      <c r="BF3" s="166" t="s">
        <v>138</v>
      </c>
      <c r="BG3" s="166" t="s">
        <v>138</v>
      </c>
      <c r="BH3" s="124">
        <v>-0.33307300499999998</v>
      </c>
      <c r="BI3" s="124">
        <v>-0.33307300499999998</v>
      </c>
      <c r="BJ3" s="124">
        <v>-0.33307300499999998</v>
      </c>
      <c r="BK3" s="166" t="s">
        <v>1221</v>
      </c>
      <c r="BL3" s="166" t="s">
        <v>1221</v>
      </c>
      <c r="BM3" s="166" t="s">
        <v>1221</v>
      </c>
      <c r="BN3" s="166">
        <v>34026</v>
      </c>
      <c r="BO3" s="166">
        <v>67482</v>
      </c>
      <c r="BP3" s="166">
        <v>67482</v>
      </c>
      <c r="BQ3" s="166" t="s">
        <v>1075</v>
      </c>
    </row>
    <row r="4" spans="1:71" s="52" customFormat="1">
      <c r="A4" s="184" t="s">
        <v>282</v>
      </c>
      <c r="B4" s="57" t="s">
        <v>1222</v>
      </c>
      <c r="C4" s="57" t="s">
        <v>1195</v>
      </c>
      <c r="D4" s="73" t="s">
        <v>1223</v>
      </c>
      <c r="E4" s="57" t="s">
        <v>1224</v>
      </c>
      <c r="F4" s="57" t="s">
        <v>1225</v>
      </c>
      <c r="G4" s="73">
        <v>720</v>
      </c>
      <c r="H4" s="73">
        <v>335</v>
      </c>
      <c r="I4" s="73">
        <v>3.52</v>
      </c>
      <c r="J4" s="73" t="s">
        <v>1226</v>
      </c>
      <c r="K4" s="73">
        <v>23</v>
      </c>
      <c r="L4" s="85" t="s">
        <v>138</v>
      </c>
      <c r="M4" s="85" t="s">
        <v>138</v>
      </c>
      <c r="N4" s="73">
        <v>41</v>
      </c>
      <c r="O4" s="26" t="s">
        <v>141</v>
      </c>
      <c r="P4" s="42" t="s">
        <v>1227</v>
      </c>
      <c r="Q4" s="42" t="s">
        <v>990</v>
      </c>
      <c r="R4" s="26" t="s">
        <v>1228</v>
      </c>
      <c r="S4" s="57" t="s">
        <v>1229</v>
      </c>
      <c r="T4" s="73" t="s">
        <v>1230</v>
      </c>
      <c r="U4" s="57" t="s">
        <v>141</v>
      </c>
      <c r="V4" s="73" t="s">
        <v>1231</v>
      </c>
      <c r="W4" s="57" t="s">
        <v>1232</v>
      </c>
      <c r="X4" s="57" t="s">
        <v>141</v>
      </c>
      <c r="Y4" s="73" t="s">
        <v>1233</v>
      </c>
      <c r="Z4" s="57" t="s">
        <v>1234</v>
      </c>
      <c r="AA4" s="57" t="s">
        <v>141</v>
      </c>
      <c r="AB4" s="73" t="s">
        <v>1235</v>
      </c>
      <c r="AC4" s="57" t="s">
        <v>1236</v>
      </c>
      <c r="AD4" s="57" t="s">
        <v>141</v>
      </c>
      <c r="AE4" s="73" t="s">
        <v>1231</v>
      </c>
      <c r="AF4" s="57" t="s">
        <v>1237</v>
      </c>
      <c r="AG4" s="57" t="s">
        <v>139</v>
      </c>
      <c r="AH4" s="57" t="s">
        <v>138</v>
      </c>
      <c r="AI4" s="57" t="s">
        <v>138</v>
      </c>
      <c r="AJ4" s="57" t="s">
        <v>141</v>
      </c>
      <c r="AK4" s="73" t="s">
        <v>1238</v>
      </c>
      <c r="AL4" s="57" t="s">
        <v>139</v>
      </c>
      <c r="AM4" s="57" t="s">
        <v>138</v>
      </c>
      <c r="AN4" s="160">
        <v>1250</v>
      </c>
      <c r="AO4" s="160">
        <v>1250</v>
      </c>
      <c r="AP4" s="160">
        <v>1250</v>
      </c>
      <c r="AQ4" s="160">
        <v>37500</v>
      </c>
      <c r="AR4" s="160">
        <v>37500</v>
      </c>
      <c r="AS4" s="160">
        <v>37500</v>
      </c>
      <c r="AT4" s="162" t="s">
        <v>138</v>
      </c>
      <c r="AU4" s="162" t="s">
        <v>138</v>
      </c>
      <c r="AV4" s="162" t="s">
        <v>138</v>
      </c>
      <c r="AW4" s="57" t="s">
        <v>141</v>
      </c>
      <c r="AX4" s="57" t="s">
        <v>138</v>
      </c>
      <c r="AY4" s="57" t="s">
        <v>138</v>
      </c>
      <c r="AZ4" s="57" t="s">
        <v>1239</v>
      </c>
      <c r="BA4" s="148">
        <v>49103</v>
      </c>
      <c r="BB4" s="85" t="s">
        <v>145</v>
      </c>
      <c r="BC4" s="73">
        <v>29</v>
      </c>
      <c r="BD4" s="85" t="s">
        <v>138</v>
      </c>
      <c r="BE4" s="57" t="s">
        <v>138</v>
      </c>
      <c r="BF4" s="160" t="s">
        <v>138</v>
      </c>
      <c r="BG4" s="160" t="s">
        <v>138</v>
      </c>
      <c r="BH4" s="124">
        <v>-0.10212571400000001</v>
      </c>
      <c r="BI4" s="124">
        <v>-0.10212571400000001</v>
      </c>
      <c r="BJ4" s="124">
        <v>-0.10212571400000001</v>
      </c>
      <c r="BK4" s="166">
        <v>1985</v>
      </c>
      <c r="BL4" s="166">
        <v>1985</v>
      </c>
      <c r="BM4" s="166">
        <v>1985</v>
      </c>
      <c r="BN4" s="166">
        <v>91500</v>
      </c>
      <c r="BO4" s="166">
        <v>91500</v>
      </c>
      <c r="BP4" s="166">
        <v>91500</v>
      </c>
      <c r="BQ4" s="166" t="s">
        <v>1170</v>
      </c>
    </row>
    <row r="5" spans="1:71" s="52" customFormat="1">
      <c r="A5" s="184" t="s">
        <v>1153</v>
      </c>
      <c r="B5" s="57" t="s">
        <v>1154</v>
      </c>
      <c r="C5" s="26" t="s">
        <v>1240</v>
      </c>
      <c r="D5" s="73" t="s">
        <v>1241</v>
      </c>
      <c r="E5" s="57" t="s">
        <v>1242</v>
      </c>
      <c r="F5" s="57" t="s">
        <v>679</v>
      </c>
      <c r="G5" s="57" t="s">
        <v>138</v>
      </c>
      <c r="H5" s="57" t="s">
        <v>138</v>
      </c>
      <c r="I5" s="57" t="s">
        <v>138</v>
      </c>
      <c r="J5" s="147" t="s">
        <v>1243</v>
      </c>
      <c r="K5" s="73">
        <v>28</v>
      </c>
      <c r="L5" s="74">
        <v>0.25</v>
      </c>
      <c r="M5" s="85" t="s">
        <v>138</v>
      </c>
      <c r="N5" s="74">
        <v>0.47</v>
      </c>
      <c r="O5" s="57" t="s">
        <v>141</v>
      </c>
      <c r="P5" s="62" t="s">
        <v>1244</v>
      </c>
      <c r="Q5" s="62" t="s">
        <v>1245</v>
      </c>
      <c r="R5" s="57">
        <v>34</v>
      </c>
      <c r="S5" s="57" t="s">
        <v>1246</v>
      </c>
      <c r="T5" s="73" t="s">
        <v>1247</v>
      </c>
      <c r="U5" s="57" t="s">
        <v>141</v>
      </c>
      <c r="V5" s="73" t="s">
        <v>1248</v>
      </c>
      <c r="W5" s="57" t="s">
        <v>1249</v>
      </c>
      <c r="X5" s="57" t="s">
        <v>141</v>
      </c>
      <c r="Y5" s="73" t="s">
        <v>1250</v>
      </c>
      <c r="Z5" s="57" t="s">
        <v>1251</v>
      </c>
      <c r="AA5" s="57" t="s">
        <v>139</v>
      </c>
      <c r="AB5" s="57" t="s">
        <v>138</v>
      </c>
      <c r="AC5" s="57" t="s">
        <v>138</v>
      </c>
      <c r="AD5" s="57" t="s">
        <v>141</v>
      </c>
      <c r="AE5" s="73" t="s">
        <v>1165</v>
      </c>
      <c r="AF5" s="57" t="s">
        <v>1252</v>
      </c>
      <c r="AG5" s="57" t="s">
        <v>139</v>
      </c>
      <c r="AH5" s="57" t="s">
        <v>138</v>
      </c>
      <c r="AI5" s="57" t="s">
        <v>138</v>
      </c>
      <c r="AJ5" s="57" t="s">
        <v>141</v>
      </c>
      <c r="AK5" s="73" t="s">
        <v>1253</v>
      </c>
      <c r="AL5" s="57" t="s">
        <v>141</v>
      </c>
      <c r="AM5" s="73" t="s">
        <v>1254</v>
      </c>
      <c r="AN5" s="160">
        <v>2582</v>
      </c>
      <c r="AO5" s="160">
        <v>2582</v>
      </c>
      <c r="AP5" s="160">
        <v>2582</v>
      </c>
      <c r="AQ5" s="160">
        <v>87800</v>
      </c>
      <c r="AR5" s="160">
        <v>87800</v>
      </c>
      <c r="AS5" s="160">
        <v>87800</v>
      </c>
      <c r="AT5" s="162">
        <v>13.168200000000001</v>
      </c>
      <c r="AU5" s="162">
        <v>13.168200000000001</v>
      </c>
      <c r="AV5" s="162">
        <v>13.168200000000001</v>
      </c>
      <c r="AW5" s="57" t="s">
        <v>141</v>
      </c>
      <c r="AX5" s="57" t="s">
        <v>138</v>
      </c>
      <c r="AY5" s="57" t="s">
        <v>138</v>
      </c>
      <c r="AZ5" s="57" t="s">
        <v>1255</v>
      </c>
      <c r="BA5" s="148">
        <v>113107</v>
      </c>
      <c r="BB5" s="73">
        <v>3</v>
      </c>
      <c r="BC5" s="73">
        <v>11</v>
      </c>
      <c r="BD5" s="73">
        <v>12</v>
      </c>
      <c r="BE5" s="57" t="s">
        <v>138</v>
      </c>
      <c r="BF5" s="160">
        <v>80000</v>
      </c>
      <c r="BG5" s="160" t="s">
        <v>138</v>
      </c>
      <c r="BH5" s="124">
        <v>-0.42986937600000003</v>
      </c>
      <c r="BI5" s="124">
        <v>-0.42986937600000003</v>
      </c>
      <c r="BJ5" s="124">
        <v>-0.42986937600000003</v>
      </c>
      <c r="BK5" s="166" t="s">
        <v>1221</v>
      </c>
      <c r="BL5" s="166" t="s">
        <v>1221</v>
      </c>
      <c r="BM5" s="166" t="s">
        <v>1221</v>
      </c>
      <c r="BN5" s="166">
        <v>77220</v>
      </c>
      <c r="BO5" s="166">
        <v>77220</v>
      </c>
      <c r="BP5" s="166">
        <v>77220</v>
      </c>
      <c r="BQ5" s="166" t="s">
        <v>1075</v>
      </c>
    </row>
    <row r="6" spans="1:71" s="52" customFormat="1">
      <c r="A6" s="184" t="s">
        <v>1076</v>
      </c>
      <c r="B6" s="57" t="s">
        <v>1077</v>
      </c>
      <c r="C6" s="57" t="s">
        <v>1195</v>
      </c>
      <c r="D6" s="73" t="s">
        <v>1256</v>
      </c>
      <c r="E6" s="57" t="s">
        <v>1079</v>
      </c>
      <c r="F6" s="57" t="s">
        <v>161</v>
      </c>
      <c r="G6" s="73">
        <v>725</v>
      </c>
      <c r="H6" s="73" t="s">
        <v>1257</v>
      </c>
      <c r="I6" s="73">
        <v>3.5</v>
      </c>
      <c r="J6" s="147" t="s">
        <v>1258</v>
      </c>
      <c r="K6" s="57" t="s">
        <v>138</v>
      </c>
      <c r="L6" s="73">
        <v>73</v>
      </c>
      <c r="M6" s="73">
        <v>23.1</v>
      </c>
      <c r="N6" s="74">
        <v>0.33</v>
      </c>
      <c r="O6" s="57" t="s">
        <v>141</v>
      </c>
      <c r="P6" s="73">
        <v>10</v>
      </c>
      <c r="Q6" s="57" t="s">
        <v>1259</v>
      </c>
      <c r="R6" s="73">
        <v>36</v>
      </c>
      <c r="S6" s="57" t="s">
        <v>1260</v>
      </c>
      <c r="T6" s="73" t="s">
        <v>1261</v>
      </c>
      <c r="U6" s="57" t="s">
        <v>141</v>
      </c>
      <c r="V6" s="73" t="s">
        <v>1262</v>
      </c>
      <c r="W6" s="57" t="s">
        <v>1263</v>
      </c>
      <c r="X6" s="57" t="s">
        <v>139</v>
      </c>
      <c r="Y6" s="85" t="s">
        <v>138</v>
      </c>
      <c r="Z6" s="57" t="s">
        <v>138</v>
      </c>
      <c r="AA6" s="57" t="s">
        <v>141</v>
      </c>
      <c r="AB6" s="73" t="s">
        <v>1264</v>
      </c>
      <c r="AC6" s="57" t="s">
        <v>1265</v>
      </c>
      <c r="AD6" s="57" t="s">
        <v>141</v>
      </c>
      <c r="AE6" s="73" t="s">
        <v>1266</v>
      </c>
      <c r="AF6" s="57" t="s">
        <v>1267</v>
      </c>
      <c r="AG6" s="57" t="s">
        <v>139</v>
      </c>
      <c r="AH6" s="57" t="s">
        <v>138</v>
      </c>
      <c r="AI6" s="57" t="s">
        <v>138</v>
      </c>
      <c r="AJ6" s="57" t="s">
        <v>141</v>
      </c>
      <c r="AK6" s="73" t="s">
        <v>1268</v>
      </c>
      <c r="AL6" s="57" t="s">
        <v>139</v>
      </c>
      <c r="AM6" s="57" t="s">
        <v>138</v>
      </c>
      <c r="AN6" s="160">
        <v>1500</v>
      </c>
      <c r="AO6" s="160">
        <v>1611</v>
      </c>
      <c r="AP6" s="160">
        <v>1611</v>
      </c>
      <c r="AQ6" s="160">
        <v>54000</v>
      </c>
      <c r="AR6" s="160">
        <v>58000</v>
      </c>
      <c r="AS6" s="160">
        <v>58000</v>
      </c>
      <c r="AT6" s="162">
        <v>7.3781411180000003</v>
      </c>
      <c r="AU6" s="162">
        <v>7.9246700900000002</v>
      </c>
      <c r="AV6" s="162">
        <v>7.9246700900000002</v>
      </c>
      <c r="AW6" s="57" t="s">
        <v>141</v>
      </c>
      <c r="AX6" s="57" t="s">
        <v>138</v>
      </c>
      <c r="AY6" s="57" t="s">
        <v>138</v>
      </c>
      <c r="AZ6" s="57" t="s">
        <v>1269</v>
      </c>
      <c r="BA6" s="148">
        <v>47344</v>
      </c>
      <c r="BB6" s="73">
        <v>14</v>
      </c>
      <c r="BC6" s="73">
        <v>25</v>
      </c>
      <c r="BD6" s="73">
        <v>32</v>
      </c>
      <c r="BE6" s="57" t="s">
        <v>1270</v>
      </c>
      <c r="BF6" s="167">
        <v>81227</v>
      </c>
      <c r="BG6" s="167">
        <v>6600</v>
      </c>
      <c r="BH6" s="124">
        <v>-0.244576923</v>
      </c>
      <c r="BI6" s="124">
        <v>-0.27255555599999998</v>
      </c>
      <c r="BJ6" s="124">
        <v>-0.27255555599999998</v>
      </c>
      <c r="BK6" s="166">
        <v>1402.78</v>
      </c>
      <c r="BL6" s="166">
        <v>1541.67</v>
      </c>
      <c r="BM6" s="166">
        <v>1541.67</v>
      </c>
      <c r="BN6" s="166">
        <v>54000</v>
      </c>
      <c r="BO6" s="166">
        <v>58000</v>
      </c>
      <c r="BP6" s="166">
        <v>58000</v>
      </c>
      <c r="BQ6" s="166" t="s">
        <v>1075</v>
      </c>
    </row>
    <row r="7" spans="1:71" s="52" customFormat="1" ht="20.25" customHeight="1">
      <c r="A7" s="184">
        <v>1</v>
      </c>
      <c r="B7" s="57" t="s">
        <v>1271</v>
      </c>
      <c r="C7" s="57" t="s">
        <v>1272</v>
      </c>
      <c r="D7" s="73" t="s">
        <v>1273</v>
      </c>
      <c r="E7" s="57" t="s">
        <v>1274</v>
      </c>
      <c r="F7" s="57" t="s">
        <v>679</v>
      </c>
      <c r="G7" s="57" t="s">
        <v>138</v>
      </c>
      <c r="H7" s="57" t="s">
        <v>138</v>
      </c>
      <c r="I7" s="57" t="s">
        <v>138</v>
      </c>
      <c r="J7" s="57" t="s">
        <v>138</v>
      </c>
      <c r="K7" s="57" t="s">
        <v>138</v>
      </c>
      <c r="L7" s="57" t="s">
        <v>138</v>
      </c>
      <c r="M7" s="57" t="s">
        <v>138</v>
      </c>
      <c r="N7" s="57" t="s">
        <v>138</v>
      </c>
      <c r="O7" s="57" t="s">
        <v>141</v>
      </c>
      <c r="P7" s="57">
        <v>18</v>
      </c>
      <c r="Q7" s="57" t="s">
        <v>1028</v>
      </c>
      <c r="R7" s="57">
        <v>30</v>
      </c>
      <c r="S7" s="57" t="s">
        <v>1275</v>
      </c>
      <c r="T7" s="73"/>
      <c r="U7" s="57" t="s">
        <v>141</v>
      </c>
      <c r="V7" s="73" t="s">
        <v>1276</v>
      </c>
      <c r="W7" s="57" t="s">
        <v>1277</v>
      </c>
      <c r="X7" s="57" t="s">
        <v>141</v>
      </c>
      <c r="Y7" s="73" t="s">
        <v>1278</v>
      </c>
      <c r="Z7" s="386" t="s">
        <v>1279</v>
      </c>
      <c r="AA7" s="57" t="s">
        <v>139</v>
      </c>
      <c r="AB7" s="57" t="s">
        <v>138</v>
      </c>
      <c r="AC7" s="57" t="s">
        <v>138</v>
      </c>
      <c r="AD7" s="57" t="s">
        <v>141</v>
      </c>
      <c r="AE7" s="73" t="s">
        <v>1276</v>
      </c>
      <c r="AF7" s="57" t="s">
        <v>1280</v>
      </c>
      <c r="AG7" s="57" t="s">
        <v>139</v>
      </c>
      <c r="AH7" s="57" t="s">
        <v>138</v>
      </c>
      <c r="AI7" s="57" t="s">
        <v>138</v>
      </c>
      <c r="AJ7" s="57" t="s">
        <v>141</v>
      </c>
      <c r="AK7" s="73" t="s">
        <v>1281</v>
      </c>
      <c r="AL7" s="57" t="s">
        <v>139</v>
      </c>
      <c r="AM7" s="57" t="s">
        <v>138</v>
      </c>
      <c r="AN7" s="167">
        <v>2374.1999999999998</v>
      </c>
      <c r="AO7" s="167">
        <v>2374.1999999999998</v>
      </c>
      <c r="AP7" s="167">
        <v>2374.1999999999998</v>
      </c>
      <c r="AQ7" s="167">
        <v>71226</v>
      </c>
      <c r="AR7" s="167">
        <v>71226</v>
      </c>
      <c r="AS7" s="167">
        <v>71226</v>
      </c>
      <c r="AT7" s="162" t="s">
        <v>138</v>
      </c>
      <c r="AU7" s="162" t="s">
        <v>138</v>
      </c>
      <c r="AV7" s="162" t="s">
        <v>138</v>
      </c>
      <c r="AW7" s="57" t="s">
        <v>141</v>
      </c>
      <c r="AX7" s="57" t="s">
        <v>138</v>
      </c>
      <c r="AY7" s="57" t="s">
        <v>138</v>
      </c>
      <c r="AZ7" s="57" t="s">
        <v>1282</v>
      </c>
      <c r="BA7" s="148">
        <v>50422</v>
      </c>
      <c r="BB7" s="73">
        <v>31</v>
      </c>
      <c r="BC7" s="73">
        <v>10</v>
      </c>
      <c r="BD7" s="85" t="s">
        <v>145</v>
      </c>
      <c r="BE7" s="57"/>
      <c r="BF7" s="160" t="s">
        <v>138</v>
      </c>
      <c r="BG7" s="160" t="s">
        <v>138</v>
      </c>
      <c r="BH7" s="124">
        <v>-0.35192120500000001</v>
      </c>
      <c r="BI7" s="124">
        <v>-0.35192120500000001</v>
      </c>
      <c r="BJ7" s="124">
        <v>-0.35192120500000001</v>
      </c>
      <c r="BK7" s="166" t="s">
        <v>1151</v>
      </c>
      <c r="BL7" s="166" t="s">
        <v>1151</v>
      </c>
      <c r="BM7" s="166" t="s">
        <v>1151</v>
      </c>
      <c r="BN7" s="166">
        <v>71266</v>
      </c>
      <c r="BO7" s="166">
        <v>71266</v>
      </c>
      <c r="BP7" s="166">
        <v>71266</v>
      </c>
      <c r="BQ7" s="166" t="s">
        <v>1075</v>
      </c>
    </row>
    <row r="8" spans="1:71">
      <c r="A8" s="184" t="s">
        <v>177</v>
      </c>
      <c r="B8" s="42" t="s">
        <v>178</v>
      </c>
      <c r="C8" s="42" t="s">
        <v>1283</v>
      </c>
      <c r="D8" s="46" t="s">
        <v>1284</v>
      </c>
      <c r="E8" s="42" t="s">
        <v>181</v>
      </c>
      <c r="F8" s="42" t="s">
        <v>182</v>
      </c>
      <c r="G8" s="42" t="s">
        <v>138</v>
      </c>
      <c r="H8" s="42" t="s">
        <v>138</v>
      </c>
      <c r="I8" s="73">
        <v>3.4</v>
      </c>
      <c r="J8" s="73">
        <v>73</v>
      </c>
      <c r="K8" s="73">
        <v>29</v>
      </c>
      <c r="L8" s="42" t="s">
        <v>138</v>
      </c>
      <c r="M8" s="42" t="s">
        <v>138</v>
      </c>
      <c r="N8" s="42" t="s">
        <v>138</v>
      </c>
      <c r="O8" s="42" t="s">
        <v>141</v>
      </c>
      <c r="P8" s="42" t="s">
        <v>1285</v>
      </c>
      <c r="Q8" s="42" t="s">
        <v>1097</v>
      </c>
      <c r="R8" s="57">
        <v>30</v>
      </c>
      <c r="S8" s="57" t="s">
        <v>1286</v>
      </c>
      <c r="T8" s="73" t="s">
        <v>1287</v>
      </c>
      <c r="U8" s="57" t="s">
        <v>141</v>
      </c>
      <c r="V8" s="73" t="s">
        <v>1288</v>
      </c>
      <c r="W8" s="57" t="s">
        <v>1289</v>
      </c>
      <c r="X8" s="57" t="s">
        <v>141</v>
      </c>
      <c r="Y8" s="73" t="s">
        <v>1290</v>
      </c>
      <c r="Z8" s="57" t="s">
        <v>1291</v>
      </c>
      <c r="AA8" s="42" t="s">
        <v>139</v>
      </c>
      <c r="AB8" s="42" t="s">
        <v>138</v>
      </c>
      <c r="AC8" s="42" t="s">
        <v>138</v>
      </c>
      <c r="AD8" s="42" t="s">
        <v>141</v>
      </c>
      <c r="AE8" s="73" t="s">
        <v>1288</v>
      </c>
      <c r="AF8" s="57" t="s">
        <v>1292</v>
      </c>
      <c r="AG8" s="42" t="s">
        <v>141</v>
      </c>
      <c r="AH8" s="46" t="s">
        <v>1293</v>
      </c>
      <c r="AI8" s="42" t="s">
        <v>1294</v>
      </c>
      <c r="AJ8" s="42" t="s">
        <v>141</v>
      </c>
      <c r="AK8" s="46" t="s">
        <v>1295</v>
      </c>
      <c r="AL8" s="57" t="s">
        <v>139</v>
      </c>
      <c r="AM8" s="57" t="s">
        <v>138</v>
      </c>
      <c r="AN8" s="160">
        <v>2362</v>
      </c>
      <c r="AO8" s="160">
        <v>2362</v>
      </c>
      <c r="AP8" s="160">
        <v>2362</v>
      </c>
      <c r="AQ8" s="160">
        <v>70872</v>
      </c>
      <c r="AR8" s="160">
        <v>70872</v>
      </c>
      <c r="AS8" s="160">
        <v>70872</v>
      </c>
      <c r="AT8" s="162" t="s">
        <v>138</v>
      </c>
      <c r="AU8" s="162" t="s">
        <v>138</v>
      </c>
      <c r="AV8" s="162" t="s">
        <v>138</v>
      </c>
      <c r="AW8" s="42" t="s">
        <v>141</v>
      </c>
      <c r="AX8" s="57" t="s">
        <v>138</v>
      </c>
      <c r="AY8" s="57" t="s">
        <v>138</v>
      </c>
      <c r="AZ8" s="57" t="s">
        <v>1296</v>
      </c>
      <c r="BA8" s="148">
        <v>71236</v>
      </c>
      <c r="BB8" s="163" t="s">
        <v>145</v>
      </c>
      <c r="BC8" s="41">
        <v>34</v>
      </c>
      <c r="BD8" s="73">
        <v>37</v>
      </c>
      <c r="BE8" s="42" t="s">
        <v>138</v>
      </c>
      <c r="BF8" s="166" t="s">
        <v>138</v>
      </c>
      <c r="BG8" s="166" t="s">
        <v>138</v>
      </c>
      <c r="BH8" s="124">
        <v>-0.35002316500000002</v>
      </c>
      <c r="BI8" s="124">
        <v>-0.35002316500000002</v>
      </c>
      <c r="BJ8" s="124">
        <v>-0.35002316500000002</v>
      </c>
      <c r="BK8" s="166">
        <v>2183</v>
      </c>
      <c r="BL8" s="166">
        <v>2183</v>
      </c>
      <c r="BM8" s="166">
        <v>2183</v>
      </c>
      <c r="BN8" s="166">
        <v>65490</v>
      </c>
      <c r="BO8" s="166">
        <v>65490</v>
      </c>
      <c r="BP8" s="166">
        <v>65490</v>
      </c>
      <c r="BQ8" s="166" t="s">
        <v>1075</v>
      </c>
    </row>
    <row r="9" spans="1:71" s="52" customFormat="1">
      <c r="A9" s="184" t="s">
        <v>1297</v>
      </c>
      <c r="B9" s="57" t="s">
        <v>1298</v>
      </c>
      <c r="C9" s="85" t="s">
        <v>1283</v>
      </c>
      <c r="D9" s="73" t="s">
        <v>1299</v>
      </c>
      <c r="E9" s="57" t="s">
        <v>181</v>
      </c>
      <c r="F9" s="57" t="s">
        <v>182</v>
      </c>
      <c r="G9" s="57">
        <v>705</v>
      </c>
      <c r="H9" s="57">
        <v>323</v>
      </c>
      <c r="I9" s="73">
        <v>3.37</v>
      </c>
      <c r="J9" s="73" t="s">
        <v>1300</v>
      </c>
      <c r="K9" s="73">
        <v>23</v>
      </c>
      <c r="L9" s="57" t="s">
        <v>138</v>
      </c>
      <c r="M9" s="146">
        <v>0.47</v>
      </c>
      <c r="N9" s="146">
        <v>0.31</v>
      </c>
      <c r="O9" s="57" t="s">
        <v>1301</v>
      </c>
      <c r="P9" s="57">
        <v>12</v>
      </c>
      <c r="Q9" s="57" t="s">
        <v>1017</v>
      </c>
      <c r="R9" s="57">
        <v>30</v>
      </c>
      <c r="S9" s="57" t="s">
        <v>1302</v>
      </c>
      <c r="T9" s="73" t="s">
        <v>1303</v>
      </c>
      <c r="U9" s="57" t="s">
        <v>141</v>
      </c>
      <c r="V9" s="73" t="s">
        <v>1304</v>
      </c>
      <c r="W9" s="57" t="s">
        <v>1305</v>
      </c>
      <c r="X9" s="57" t="s">
        <v>141</v>
      </c>
      <c r="Y9" s="73" t="s">
        <v>1306</v>
      </c>
      <c r="Z9" s="57" t="s">
        <v>1307</v>
      </c>
      <c r="AA9" s="57" t="s">
        <v>139</v>
      </c>
      <c r="AB9" s="57" t="s">
        <v>138</v>
      </c>
      <c r="AC9" s="57" t="s">
        <v>138</v>
      </c>
      <c r="AD9" s="57" t="s">
        <v>141</v>
      </c>
      <c r="AE9" s="73" t="s">
        <v>1308</v>
      </c>
      <c r="AF9" s="57" t="s">
        <v>1309</v>
      </c>
      <c r="AG9" s="57" t="s">
        <v>141</v>
      </c>
      <c r="AH9" s="73" t="s">
        <v>1306</v>
      </c>
      <c r="AI9" s="57" t="s">
        <v>1310</v>
      </c>
      <c r="AJ9" s="57" t="s">
        <v>141</v>
      </c>
      <c r="AK9" s="73" t="s">
        <v>1311</v>
      </c>
      <c r="AL9" s="57" t="s">
        <v>139</v>
      </c>
      <c r="AM9" s="57" t="s">
        <v>138</v>
      </c>
      <c r="AN9" s="160">
        <v>2306</v>
      </c>
      <c r="AO9" s="160">
        <v>2306</v>
      </c>
      <c r="AP9" s="160">
        <v>2306</v>
      </c>
      <c r="AQ9" s="160">
        <v>69180</v>
      </c>
      <c r="AR9" s="160">
        <v>69180</v>
      </c>
      <c r="AS9" s="160">
        <v>69180</v>
      </c>
      <c r="AT9" s="162" t="s">
        <v>138</v>
      </c>
      <c r="AU9" s="162" t="s">
        <v>138</v>
      </c>
      <c r="AV9" s="162" t="s">
        <v>138</v>
      </c>
      <c r="AW9" s="57" t="s">
        <v>141</v>
      </c>
      <c r="AX9" s="57" t="s">
        <v>138</v>
      </c>
      <c r="AY9" s="57" t="s">
        <v>138</v>
      </c>
      <c r="AZ9" s="57" t="s">
        <v>1296</v>
      </c>
      <c r="BA9" s="148">
        <v>71236</v>
      </c>
      <c r="BB9" s="73">
        <v>9</v>
      </c>
      <c r="BC9" s="73">
        <v>19</v>
      </c>
      <c r="BD9" s="73">
        <v>94</v>
      </c>
      <c r="BE9" s="57" t="s">
        <v>138</v>
      </c>
      <c r="BF9" s="160" t="s">
        <v>138</v>
      </c>
      <c r="BG9" s="160" t="s">
        <v>138</v>
      </c>
      <c r="BH9" s="124">
        <v>-0.34079543499999998</v>
      </c>
      <c r="BI9" s="124">
        <v>-0.34079543499999998</v>
      </c>
      <c r="BJ9" s="124">
        <v>-0.34079543499999998</v>
      </c>
      <c r="BK9" s="166">
        <v>2306</v>
      </c>
      <c r="BL9" s="166">
        <v>2306</v>
      </c>
      <c r="BM9" s="166">
        <v>2306</v>
      </c>
      <c r="BN9" s="166">
        <v>69180</v>
      </c>
      <c r="BO9" s="166">
        <v>69180</v>
      </c>
      <c r="BP9" s="166">
        <v>69180</v>
      </c>
      <c r="BQ9" s="166" t="s">
        <v>1075</v>
      </c>
    </row>
    <row r="10" spans="1:71" s="52" customFormat="1">
      <c r="A10" s="184" t="s">
        <v>526</v>
      </c>
      <c r="B10" s="57" t="s">
        <v>527</v>
      </c>
      <c r="C10" s="57" t="s">
        <v>1195</v>
      </c>
      <c r="D10" s="73" t="s">
        <v>1312</v>
      </c>
      <c r="E10" s="57" t="s">
        <v>530</v>
      </c>
      <c r="F10" s="57" t="s">
        <v>531</v>
      </c>
      <c r="G10" s="73" t="s">
        <v>1313</v>
      </c>
      <c r="H10" s="73" t="s">
        <v>1314</v>
      </c>
      <c r="I10" s="73">
        <v>3.5</v>
      </c>
      <c r="J10" s="73">
        <v>67</v>
      </c>
      <c r="K10" s="73">
        <v>29</v>
      </c>
      <c r="L10" s="85" t="s">
        <v>138</v>
      </c>
      <c r="M10" s="87">
        <v>0.53400000000000003</v>
      </c>
      <c r="N10" s="87">
        <v>0.504</v>
      </c>
      <c r="O10" s="73" t="s">
        <v>141</v>
      </c>
      <c r="P10" s="57">
        <v>16</v>
      </c>
      <c r="Q10" s="57" t="s">
        <v>990</v>
      </c>
      <c r="R10" s="57" t="s">
        <v>138</v>
      </c>
      <c r="S10" s="57" t="s">
        <v>1315</v>
      </c>
      <c r="T10" s="73" t="s">
        <v>1316</v>
      </c>
      <c r="U10" s="57" t="s">
        <v>141</v>
      </c>
      <c r="V10" s="73" t="s">
        <v>1317</v>
      </c>
      <c r="W10" s="57" t="s">
        <v>1318</v>
      </c>
      <c r="X10" s="57" t="s">
        <v>141</v>
      </c>
      <c r="Y10" s="73" t="s">
        <v>1319</v>
      </c>
      <c r="Z10" s="57" t="s">
        <v>1320</v>
      </c>
      <c r="AA10" s="57" t="s">
        <v>139</v>
      </c>
      <c r="AB10" s="57" t="s">
        <v>138</v>
      </c>
      <c r="AC10" s="57" t="s">
        <v>138</v>
      </c>
      <c r="AD10" s="57" t="s">
        <v>141</v>
      </c>
      <c r="AE10" s="73" t="s">
        <v>1321</v>
      </c>
      <c r="AF10" s="57" t="s">
        <v>1322</v>
      </c>
      <c r="AG10" s="57" t="s">
        <v>139</v>
      </c>
      <c r="AH10" s="57" t="s">
        <v>138</v>
      </c>
      <c r="AI10" s="57" t="s">
        <v>138</v>
      </c>
      <c r="AJ10" s="57" t="s">
        <v>141</v>
      </c>
      <c r="AK10" s="73" t="s">
        <v>538</v>
      </c>
      <c r="AL10" s="57" t="s">
        <v>139</v>
      </c>
      <c r="AM10" s="57" t="s">
        <v>138</v>
      </c>
      <c r="AN10" s="167">
        <v>2421</v>
      </c>
      <c r="AO10" s="167">
        <v>2421</v>
      </c>
      <c r="AP10" s="167">
        <v>2421</v>
      </c>
      <c r="AQ10" s="167">
        <v>79893</v>
      </c>
      <c r="AR10" s="167">
        <v>79893</v>
      </c>
      <c r="AS10" s="167">
        <v>79893</v>
      </c>
      <c r="AT10" s="162" t="s">
        <v>138</v>
      </c>
      <c r="AU10" s="162" t="s">
        <v>138</v>
      </c>
      <c r="AV10" s="162" t="s">
        <v>138</v>
      </c>
      <c r="AW10" s="57" t="s">
        <v>141</v>
      </c>
      <c r="AX10" s="57" t="s">
        <v>138</v>
      </c>
      <c r="AY10" s="57" t="s">
        <v>138</v>
      </c>
      <c r="AZ10" s="57" t="s">
        <v>1323</v>
      </c>
      <c r="BA10" s="148">
        <v>73141</v>
      </c>
      <c r="BB10" s="73">
        <v>31</v>
      </c>
      <c r="BC10" s="85" t="s">
        <v>1002</v>
      </c>
      <c r="BD10" s="73">
        <v>34</v>
      </c>
      <c r="BE10" s="74">
        <v>0.82</v>
      </c>
      <c r="BF10" s="160" t="s">
        <v>138</v>
      </c>
      <c r="BG10" s="160" t="s">
        <v>138</v>
      </c>
      <c r="BH10" s="124">
        <v>-0.395163712</v>
      </c>
      <c r="BI10" s="124">
        <v>-0.395163712</v>
      </c>
      <c r="BJ10" s="124">
        <v>-0.395163712</v>
      </c>
      <c r="BK10" s="166">
        <v>2541</v>
      </c>
      <c r="BL10" s="166">
        <v>2541</v>
      </c>
      <c r="BM10" s="166">
        <v>2541</v>
      </c>
      <c r="BN10" s="166">
        <v>95476</v>
      </c>
      <c r="BO10" s="166">
        <v>95476</v>
      </c>
      <c r="BP10" s="166">
        <v>95476</v>
      </c>
      <c r="BQ10" s="166" t="s">
        <v>1075</v>
      </c>
    </row>
    <row r="11" spans="1:71">
      <c r="A11" s="141" t="s">
        <v>714</v>
      </c>
      <c r="B11" s="42" t="s">
        <v>233</v>
      </c>
      <c r="C11" s="42" t="s">
        <v>1195</v>
      </c>
      <c r="D11" s="46" t="s">
        <v>1324</v>
      </c>
      <c r="E11" s="42" t="s">
        <v>235</v>
      </c>
      <c r="F11" s="42" t="s">
        <v>137</v>
      </c>
      <c r="G11" s="42" t="s">
        <v>138</v>
      </c>
      <c r="H11" s="42" t="s">
        <v>138</v>
      </c>
      <c r="I11" s="41">
        <v>3.6</v>
      </c>
      <c r="J11" s="42" t="s">
        <v>138</v>
      </c>
      <c r="K11" s="42" t="s">
        <v>138</v>
      </c>
      <c r="L11" s="41">
        <v>55</v>
      </c>
      <c r="M11" s="102">
        <v>0.36</v>
      </c>
      <c r="N11" s="42"/>
      <c r="O11" s="42" t="s">
        <v>141</v>
      </c>
      <c r="P11" s="82" t="s">
        <v>1325</v>
      </c>
      <c r="Q11" s="42" t="s">
        <v>1259</v>
      </c>
      <c r="R11" s="42">
        <v>31.5</v>
      </c>
      <c r="S11" s="42" t="s">
        <v>1326</v>
      </c>
      <c r="T11" s="41" t="s">
        <v>1327</v>
      </c>
      <c r="U11" s="42" t="s">
        <v>141</v>
      </c>
      <c r="V11" s="46" t="s">
        <v>1328</v>
      </c>
      <c r="W11" s="42" t="s">
        <v>1329</v>
      </c>
      <c r="X11" s="42" t="s">
        <v>139</v>
      </c>
      <c r="Y11" s="42" t="s">
        <v>138</v>
      </c>
      <c r="Z11" s="42" t="s">
        <v>138</v>
      </c>
      <c r="AA11" s="42" t="s">
        <v>139</v>
      </c>
      <c r="AB11" s="42" t="s">
        <v>138</v>
      </c>
      <c r="AC11" s="42" t="s">
        <v>138</v>
      </c>
      <c r="AD11" s="42" t="s">
        <v>141</v>
      </c>
      <c r="AE11" s="46" t="s">
        <v>1330</v>
      </c>
      <c r="AF11" s="42" t="s">
        <v>1331</v>
      </c>
      <c r="AG11" s="42" t="s">
        <v>139</v>
      </c>
      <c r="AH11" s="42" t="s">
        <v>138</v>
      </c>
      <c r="AI11" s="42" t="s">
        <v>138</v>
      </c>
      <c r="AJ11" s="42" t="s">
        <v>141</v>
      </c>
      <c r="AK11" s="46" t="s">
        <v>1332</v>
      </c>
      <c r="AL11" s="57" t="s">
        <v>139</v>
      </c>
      <c r="AM11" s="57" t="s">
        <v>138</v>
      </c>
      <c r="AN11" s="160">
        <v>862.19</v>
      </c>
      <c r="AO11" s="160">
        <v>1540</v>
      </c>
      <c r="AP11" s="160">
        <v>1540</v>
      </c>
      <c r="AQ11" s="166">
        <v>27159</v>
      </c>
      <c r="AR11" s="166">
        <v>48515</v>
      </c>
      <c r="AS11" s="166">
        <v>48515</v>
      </c>
      <c r="AT11" s="162">
        <v>3.209335303</v>
      </c>
      <c r="AU11" s="162">
        <v>5.7329394389999999</v>
      </c>
      <c r="AV11" s="162">
        <v>5.7329394389999999</v>
      </c>
      <c r="AW11" s="42" t="s">
        <v>141</v>
      </c>
      <c r="AX11" s="42" t="s">
        <v>141</v>
      </c>
      <c r="AY11" s="42" t="s">
        <v>141</v>
      </c>
      <c r="AZ11" s="146">
        <v>0</v>
      </c>
      <c r="BA11" s="148">
        <v>48712</v>
      </c>
      <c r="BB11" s="46">
        <v>31</v>
      </c>
      <c r="BC11" s="41">
        <v>28</v>
      </c>
      <c r="BD11" s="73">
        <v>108</v>
      </c>
      <c r="BE11" s="53">
        <v>0.96</v>
      </c>
      <c r="BF11" s="223">
        <v>92769</v>
      </c>
      <c r="BG11" s="223">
        <v>8781</v>
      </c>
      <c r="BH11" s="124">
        <v>1.8209152999999999E-2</v>
      </c>
      <c r="BI11" s="124">
        <v>-0.202517383</v>
      </c>
      <c r="BJ11" s="124">
        <v>-0.202517383</v>
      </c>
      <c r="BK11" s="166">
        <v>862.19</v>
      </c>
      <c r="BL11" s="166">
        <v>1540.16</v>
      </c>
      <c r="BM11" s="166">
        <v>1540.16</v>
      </c>
      <c r="BN11" s="166">
        <v>27159</v>
      </c>
      <c r="BO11" s="166">
        <v>48515</v>
      </c>
      <c r="BP11" s="166">
        <v>48515</v>
      </c>
      <c r="BQ11" s="166" t="s">
        <v>1170</v>
      </c>
    </row>
    <row r="12" spans="1:71" s="52" customFormat="1" ht="18" customHeight="1">
      <c r="A12" s="141" t="s">
        <v>1333</v>
      </c>
      <c r="B12" s="57" t="s">
        <v>1334</v>
      </c>
      <c r="C12" s="57" t="s">
        <v>1335</v>
      </c>
      <c r="D12" s="73" t="s">
        <v>1336</v>
      </c>
      <c r="E12" s="57" t="s">
        <v>262</v>
      </c>
      <c r="F12" s="57" t="s">
        <v>263</v>
      </c>
      <c r="G12" s="73" t="s">
        <v>1337</v>
      </c>
      <c r="H12" s="73" t="s">
        <v>1338</v>
      </c>
      <c r="I12" s="73">
        <v>3.6</v>
      </c>
      <c r="J12" s="73">
        <v>65</v>
      </c>
      <c r="K12" s="73">
        <v>30</v>
      </c>
      <c r="L12" s="85" t="s">
        <v>138</v>
      </c>
      <c r="M12" s="87">
        <v>0.109</v>
      </c>
      <c r="N12" s="87">
        <v>0.48699999999999999</v>
      </c>
      <c r="O12" s="57" t="s">
        <v>141</v>
      </c>
      <c r="P12" s="75" t="s">
        <v>1339</v>
      </c>
      <c r="Q12" s="57" t="s">
        <v>990</v>
      </c>
      <c r="R12" s="57">
        <v>36</v>
      </c>
      <c r="S12" s="57" t="s">
        <v>1340</v>
      </c>
      <c r="T12" s="73" t="s">
        <v>1341</v>
      </c>
      <c r="U12" s="85" t="s">
        <v>141</v>
      </c>
      <c r="V12" s="73" t="s">
        <v>1342</v>
      </c>
      <c r="W12" s="57" t="s">
        <v>1343</v>
      </c>
      <c r="X12" s="57" t="s">
        <v>141</v>
      </c>
      <c r="Y12" s="73" t="s">
        <v>1344</v>
      </c>
      <c r="Z12" s="73" t="s">
        <v>1345</v>
      </c>
      <c r="AA12" s="57" t="s">
        <v>139</v>
      </c>
      <c r="AB12" s="57" t="s">
        <v>138</v>
      </c>
      <c r="AC12" s="57" t="s">
        <v>138</v>
      </c>
      <c r="AD12" s="57" t="s">
        <v>141</v>
      </c>
      <c r="AE12" s="73" t="s">
        <v>1342</v>
      </c>
      <c r="AF12" s="57" t="s">
        <v>1346</v>
      </c>
      <c r="AG12" s="57" t="s">
        <v>139</v>
      </c>
      <c r="AH12" s="57" t="s">
        <v>138</v>
      </c>
      <c r="AI12" s="57" t="s">
        <v>138</v>
      </c>
      <c r="AJ12" s="57" t="s">
        <v>141</v>
      </c>
      <c r="AK12" s="73" t="s">
        <v>1336</v>
      </c>
      <c r="AL12" s="57" t="s">
        <v>139</v>
      </c>
      <c r="AM12" s="57" t="s">
        <v>138</v>
      </c>
      <c r="AN12" s="160">
        <v>840</v>
      </c>
      <c r="AO12" s="160">
        <v>1641</v>
      </c>
      <c r="AP12" s="160">
        <v>1641</v>
      </c>
      <c r="AQ12" s="167">
        <v>30252</v>
      </c>
      <c r="AR12" s="167">
        <v>59091</v>
      </c>
      <c r="AS12" s="167">
        <v>59091</v>
      </c>
      <c r="AT12" s="162">
        <v>4.7127000819999996</v>
      </c>
      <c r="AU12" s="162">
        <v>9.2052809910000004</v>
      </c>
      <c r="AV12" s="162">
        <v>9.2052809910000004</v>
      </c>
      <c r="AW12" s="42" t="s">
        <v>141</v>
      </c>
      <c r="AX12" s="57" t="s">
        <v>138</v>
      </c>
      <c r="AY12" s="57" t="s">
        <v>138</v>
      </c>
      <c r="AZ12" s="57" t="s">
        <v>1220</v>
      </c>
      <c r="BA12" s="148">
        <v>46318</v>
      </c>
      <c r="BB12" s="73">
        <v>28</v>
      </c>
      <c r="BC12" s="57" t="s">
        <v>145</v>
      </c>
      <c r="BD12" s="73">
        <v>69</v>
      </c>
      <c r="BE12" s="146">
        <v>0.95</v>
      </c>
      <c r="BF12" s="160">
        <v>77031</v>
      </c>
      <c r="BG12" s="160" t="s">
        <v>138</v>
      </c>
      <c r="BH12" s="124">
        <v>-2.1033744E-2</v>
      </c>
      <c r="BI12" s="124">
        <v>-0.27983059999999998</v>
      </c>
      <c r="BJ12" s="124">
        <v>-0.27983059999999998</v>
      </c>
      <c r="BK12" s="166">
        <v>869.89</v>
      </c>
      <c r="BL12" s="166">
        <v>1703</v>
      </c>
      <c r="BM12" s="166">
        <v>1703</v>
      </c>
      <c r="BN12" s="166">
        <v>31316</v>
      </c>
      <c r="BO12" s="166">
        <v>61308</v>
      </c>
      <c r="BP12" s="166">
        <v>61308</v>
      </c>
      <c r="BQ12" s="166" t="s">
        <v>1075</v>
      </c>
    </row>
    <row r="13" spans="1:71" s="52" customFormat="1">
      <c r="A13" s="141" t="s">
        <v>1347</v>
      </c>
      <c r="B13" s="57" t="s">
        <v>1348</v>
      </c>
      <c r="C13" s="57" t="s">
        <v>1349</v>
      </c>
      <c r="D13" s="73" t="s">
        <v>1350</v>
      </c>
      <c r="E13" s="57" t="s">
        <v>1351</v>
      </c>
      <c r="F13" s="57" t="s">
        <v>531</v>
      </c>
      <c r="G13" s="73" t="s">
        <v>1352</v>
      </c>
      <c r="H13" s="73" t="s">
        <v>1353</v>
      </c>
      <c r="I13" s="57">
        <v>3.4</v>
      </c>
      <c r="J13" s="85" t="s">
        <v>138</v>
      </c>
      <c r="K13" s="85" t="s">
        <v>138</v>
      </c>
      <c r="L13" s="85" t="s">
        <v>138</v>
      </c>
      <c r="M13" s="87">
        <v>0.81699999999999995</v>
      </c>
      <c r="N13" s="87">
        <v>0.47699999999999998</v>
      </c>
      <c r="O13" s="57" t="s">
        <v>141</v>
      </c>
      <c r="P13" s="75" t="s">
        <v>1354</v>
      </c>
      <c r="Q13" s="57" t="s">
        <v>1080</v>
      </c>
      <c r="R13" s="57">
        <v>52</v>
      </c>
      <c r="S13" s="57" t="s">
        <v>1355</v>
      </c>
      <c r="T13" s="73" t="s">
        <v>1356</v>
      </c>
      <c r="U13" s="57" t="s">
        <v>141</v>
      </c>
      <c r="V13" s="73" t="s">
        <v>1357</v>
      </c>
      <c r="W13" s="57" t="s">
        <v>1358</v>
      </c>
      <c r="X13" s="57" t="s">
        <v>139</v>
      </c>
      <c r="Y13" s="57" t="s">
        <v>138</v>
      </c>
      <c r="Z13" s="57" t="s">
        <v>138</v>
      </c>
      <c r="AA13" s="57" t="s">
        <v>139</v>
      </c>
      <c r="AB13" s="57" t="s">
        <v>138</v>
      </c>
      <c r="AC13" s="57" t="s">
        <v>138</v>
      </c>
      <c r="AD13" s="57" t="s">
        <v>141</v>
      </c>
      <c r="AE13" s="73" t="s">
        <v>1359</v>
      </c>
      <c r="AF13" s="57" t="s">
        <v>1360</v>
      </c>
      <c r="AG13" s="57" t="s">
        <v>139</v>
      </c>
      <c r="AH13" s="57" t="s">
        <v>138</v>
      </c>
      <c r="AI13" s="57" t="s">
        <v>138</v>
      </c>
      <c r="AJ13" s="57" t="s">
        <v>141</v>
      </c>
      <c r="AK13" s="73" t="s">
        <v>1361</v>
      </c>
      <c r="AL13" s="57" t="s">
        <v>139</v>
      </c>
      <c r="AM13" s="57" t="s">
        <v>138</v>
      </c>
      <c r="AN13" s="167">
        <v>1118.3699999999999</v>
      </c>
      <c r="AO13" s="167">
        <v>1408.79</v>
      </c>
      <c r="AP13" s="167">
        <v>1408.79</v>
      </c>
      <c r="AQ13" s="167">
        <v>58155</v>
      </c>
      <c r="AR13" s="167">
        <v>73257</v>
      </c>
      <c r="AS13" s="167">
        <v>73257</v>
      </c>
      <c r="AT13" s="138" t="s">
        <v>138</v>
      </c>
      <c r="AU13" s="42" t="s">
        <v>138</v>
      </c>
      <c r="AV13" s="42" t="s">
        <v>138</v>
      </c>
      <c r="AW13" s="42" t="s">
        <v>141</v>
      </c>
      <c r="AX13" s="57" t="s">
        <v>138</v>
      </c>
      <c r="AY13" s="57" t="s">
        <v>138</v>
      </c>
      <c r="AZ13" s="57" t="s">
        <v>1296</v>
      </c>
      <c r="BA13" s="148">
        <v>71187</v>
      </c>
      <c r="BB13" s="57" t="s">
        <v>1362</v>
      </c>
      <c r="BC13" s="57" t="s">
        <v>145</v>
      </c>
      <c r="BD13" s="73" t="s">
        <v>1363</v>
      </c>
      <c r="BE13" s="57" t="s">
        <v>138</v>
      </c>
      <c r="BF13" s="160" t="s">
        <v>138</v>
      </c>
      <c r="BG13" s="160" t="s">
        <v>138</v>
      </c>
      <c r="BH13" s="124">
        <v>-0.273598077</v>
      </c>
      <c r="BI13" s="124">
        <v>-0.36260009599999998</v>
      </c>
      <c r="BJ13" s="124">
        <v>-0.36260009599999998</v>
      </c>
      <c r="BK13" s="166">
        <v>1613</v>
      </c>
      <c r="BL13" s="166">
        <v>1613</v>
      </c>
      <c r="BM13" s="166">
        <v>1613</v>
      </c>
      <c r="BN13" s="166">
        <v>85166</v>
      </c>
      <c r="BO13" s="166">
        <v>85166</v>
      </c>
      <c r="BP13" s="166">
        <v>85166</v>
      </c>
      <c r="BQ13" s="166" t="s">
        <v>1075</v>
      </c>
    </row>
    <row r="14" spans="1:71">
      <c r="A14" s="141" t="s">
        <v>1023</v>
      </c>
      <c r="B14" s="42" t="s">
        <v>1024</v>
      </c>
      <c r="C14" s="42" t="s">
        <v>1364</v>
      </c>
      <c r="D14" s="46" t="s">
        <v>1365</v>
      </c>
      <c r="E14" s="42" t="s">
        <v>1027</v>
      </c>
      <c r="F14" s="42" t="s">
        <v>853</v>
      </c>
      <c r="G14" s="163" t="s">
        <v>138</v>
      </c>
      <c r="H14" s="42" t="s">
        <v>138</v>
      </c>
      <c r="I14" s="46">
        <v>3.4</v>
      </c>
      <c r="J14" s="65">
        <v>59</v>
      </c>
      <c r="K14" s="42" t="s">
        <v>138</v>
      </c>
      <c r="L14" s="42" t="s">
        <v>138</v>
      </c>
      <c r="M14" s="42" t="s">
        <v>138</v>
      </c>
      <c r="N14" s="42" t="s">
        <v>138</v>
      </c>
      <c r="O14" s="42" t="s">
        <v>141</v>
      </c>
      <c r="P14" s="82" t="s">
        <v>1366</v>
      </c>
      <c r="Q14" s="42" t="s">
        <v>990</v>
      </c>
      <c r="R14" s="42">
        <v>30</v>
      </c>
      <c r="S14" s="42" t="s">
        <v>1367</v>
      </c>
      <c r="T14" s="46" t="s">
        <v>1368</v>
      </c>
      <c r="U14" s="42" t="s">
        <v>141</v>
      </c>
      <c r="V14" s="46" t="s">
        <v>1369</v>
      </c>
      <c r="W14" s="42" t="s">
        <v>1370</v>
      </c>
      <c r="X14" s="42" t="s">
        <v>139</v>
      </c>
      <c r="Y14" s="42" t="s">
        <v>138</v>
      </c>
      <c r="Z14" s="42" t="s">
        <v>138</v>
      </c>
      <c r="AA14" s="42" t="s">
        <v>139</v>
      </c>
      <c r="AB14" s="42" t="s">
        <v>138</v>
      </c>
      <c r="AC14" s="42" t="s">
        <v>138</v>
      </c>
      <c r="AD14" s="42" t="s">
        <v>141</v>
      </c>
      <c r="AE14" s="46" t="s">
        <v>1371</v>
      </c>
      <c r="AF14" s="42" t="s">
        <v>1372</v>
      </c>
      <c r="AG14" s="42" t="s">
        <v>141</v>
      </c>
      <c r="AH14" s="42"/>
      <c r="AI14" s="42"/>
      <c r="AJ14" s="42" t="s">
        <v>141</v>
      </c>
      <c r="AK14" s="46" t="s">
        <v>1373</v>
      </c>
      <c r="AL14" s="57" t="s">
        <v>139</v>
      </c>
      <c r="AM14" s="57" t="s">
        <v>138</v>
      </c>
      <c r="AN14" s="160">
        <v>980.8</v>
      </c>
      <c r="AO14" s="160">
        <v>1769</v>
      </c>
      <c r="AP14" s="160">
        <v>1769</v>
      </c>
      <c r="AQ14" s="166">
        <v>29424.78</v>
      </c>
      <c r="AR14" s="166">
        <v>53073.26</v>
      </c>
      <c r="AS14" s="166">
        <v>53073.26</v>
      </c>
      <c r="AT14" s="162">
        <v>3.3248338980000001</v>
      </c>
      <c r="AU14" s="162">
        <v>5.9969785309999999</v>
      </c>
      <c r="AV14" s="162">
        <v>5.9969785309999999</v>
      </c>
      <c r="AW14" s="42" t="s">
        <v>141</v>
      </c>
      <c r="AX14" s="57" t="s">
        <v>138</v>
      </c>
      <c r="AY14" s="57" t="s">
        <v>138</v>
      </c>
      <c r="AZ14" s="57" t="s">
        <v>1374</v>
      </c>
      <c r="BA14" s="148">
        <v>51253</v>
      </c>
      <c r="BB14" s="42" t="s">
        <v>1362</v>
      </c>
      <c r="BC14" s="42" t="s">
        <v>145</v>
      </c>
      <c r="BD14" s="73">
        <v>54</v>
      </c>
      <c r="BE14" s="53">
        <v>1</v>
      </c>
      <c r="BF14" s="223">
        <v>95600</v>
      </c>
      <c r="BG14" s="223">
        <v>10600</v>
      </c>
      <c r="BH14" s="124">
        <v>-1.0837675999999999E-2</v>
      </c>
      <c r="BI14" s="124">
        <v>-0.23778485299999999</v>
      </c>
      <c r="BJ14" s="124">
        <v>-0.23778485299999999</v>
      </c>
      <c r="BK14" s="166">
        <v>1740.8</v>
      </c>
      <c r="BL14" s="166">
        <v>1740.8</v>
      </c>
      <c r="BM14" s="166">
        <v>1740.8</v>
      </c>
      <c r="BN14" s="166">
        <v>76375.960000000006</v>
      </c>
      <c r="BO14" s="166">
        <v>121243</v>
      </c>
      <c r="BP14" s="166">
        <v>121243</v>
      </c>
      <c r="BQ14" s="166" t="s">
        <v>1375</v>
      </c>
    </row>
  </sheetData>
  <hyperlinks>
    <hyperlink ref="AK3" r:id="rId1" xr:uid="{6EA12361-4DC8-40DC-ABD0-3D09442C52A1}"/>
    <hyperlink ref="AK2" r:id="rId2" xr:uid="{7309BA87-E66D-4204-ADB6-2705957E0724}"/>
    <hyperlink ref="T12" r:id="rId3" xr:uid="{E9CFB46E-83B1-4771-8B20-714C7E3B642D}"/>
    <hyperlink ref="AS12" r:id="rId4" display="30252" xr:uid="{D7752C23-F2AD-4C06-AED8-3287BF931716}"/>
    <hyperlink ref="BB2:BB3" r:id="rId5" display="51" xr:uid="{FAF7685E-3EE5-40DB-B381-4DE0B33B1CD3}"/>
    <hyperlink ref="Z12" r:id="rId6" xr:uid="{8E4AD3E4-7DFD-416F-AD02-DBF6200971C6}"/>
    <hyperlink ref="Y12" r:id="rId7" xr:uid="{F30ADB61-CC7B-45CE-9998-FF7AF54F7C4C}"/>
    <hyperlink ref="AN7:AP7" r:id="rId8" display="2374.2" xr:uid="{566EE3AB-083D-4052-B26B-2CD6D1E5BDB9}"/>
    <hyperlink ref="AQ7:AS7" r:id="rId9" display="71226" xr:uid="{64336B20-7512-4B33-942E-4115032C84D2}"/>
    <hyperlink ref="BD6" r:id="rId10" display="32" xr:uid="{5C2CCEF7-2345-43B2-B9DD-09702FE39F6F}"/>
    <hyperlink ref="BD11" r:id="rId11" display="108" xr:uid="{D2888040-F23D-40F6-A40C-18F4F510A8C4}"/>
    <hyperlink ref="V12" r:id="rId12" xr:uid="{B9150282-9E45-4F84-B3B0-DDC9EEB70AB2}"/>
    <hyperlink ref="BD14" r:id="rId13" display="54" xr:uid="{6255ADCB-3CBE-4751-B06F-A364818FC1DC}"/>
    <hyperlink ref="BD13" r:id="rId14" xr:uid="{DB14F3BA-9B9A-4C77-B41A-70F1B6E8AC36}"/>
    <hyperlink ref="BD10" r:id="rId15" display="34" xr:uid="{E3A17DF9-90AB-4CA8-A129-34F4C9ADF937}"/>
    <hyperlink ref="BD9" r:id="rId16" display="94" xr:uid="{B610FE53-D90F-4008-A458-C6C1E5C92850}"/>
    <hyperlink ref="BD8" r:id="rId17" display="37" xr:uid="{B5CA8180-C649-4CB5-99E8-0B9A619871A1}"/>
    <hyperlink ref="BD5" r:id="rId18" display="12" xr:uid="{697DCC6A-ACF8-4B07-9F3F-6AE84B205867}"/>
    <hyperlink ref="BB12" r:id="rId19" display="28" xr:uid="{8E05A455-9E66-47D9-B911-EF625D4D7C27}"/>
    <hyperlink ref="BB11" r:id="rId20" display="31" xr:uid="{F8499CB0-DF22-4CEB-A183-A74FF341FB34}"/>
    <hyperlink ref="BB10" r:id="rId21" display="31" xr:uid="{C61D08CE-CE94-4882-8C3E-307E5BDDDF5B}"/>
    <hyperlink ref="BB7" r:id="rId22" display="31" xr:uid="{BB62C5AA-823B-40DB-B4DC-CEB4D9F241EC}"/>
    <hyperlink ref="BB6" r:id="rId23" display="14" xr:uid="{894B1999-6430-4685-BD5C-AC310F0C0DCD}"/>
    <hyperlink ref="BB5" r:id="rId24" display="3" xr:uid="{469AE943-7D7B-48F0-A27A-52266292D74C}"/>
    <hyperlink ref="BC11" r:id="rId25" display="28" xr:uid="{5492D7C5-E1F8-4087-8CDA-54B33B92FE83}"/>
    <hyperlink ref="BC9" r:id="rId26" display="19" xr:uid="{09B1349E-897A-4ED2-949C-A953601694A6}"/>
    <hyperlink ref="BC8" r:id="rId27" display="34" xr:uid="{36CF3AE1-CA82-4726-862E-CFBE5C3801B4}"/>
    <hyperlink ref="BC7" r:id="rId28" display="10" xr:uid="{6EA7CFE2-B7B4-4CEA-B8AE-D1AFE850A877}"/>
    <hyperlink ref="BC6" r:id="rId29" display="25" xr:uid="{FE8F69A3-799E-48E5-9C48-871EBE8D4D89}"/>
    <hyperlink ref="BC5" r:id="rId30" display="11" xr:uid="{368CA5F0-FFEA-4FE1-A9B7-E74179543CE3}"/>
    <hyperlink ref="BC4" r:id="rId31" display="29" xr:uid="{F4644CEB-E489-4987-A989-633C775BF1AB}"/>
    <hyperlink ref="J5:N5" r:id="rId32" display="Sixty" xr:uid="{077599FF-4337-494B-9F62-BD216E6E67ED}"/>
    <hyperlink ref="BD12" r:id="rId33" display="69" xr:uid="{13D25A31-BA6C-436E-8C8D-A1528AE9C6E8}"/>
    <hyperlink ref="AM5" r:id="rId34" xr:uid="{17C8A40D-EA9B-446F-891F-0234C57DB19E}"/>
    <hyperlink ref="AK5" r:id="rId35" xr:uid="{65FC2D95-84AB-4786-8FC5-631AA3AF58A4}"/>
    <hyperlink ref="AE5" r:id="rId36" xr:uid="{E8D6B3A9-7023-4FB2-9560-ECC57C1DDBF1}"/>
    <hyperlink ref="V5" r:id="rId37" xr:uid="{0895F8F6-A51B-4A96-BAAE-53ECFEFFECF9}"/>
    <hyperlink ref="Y5" r:id="rId38" xr:uid="{5A0AA122-CF55-47DF-BE08-70D0497D9E20}"/>
    <hyperlink ref="T5" r:id="rId39" xr:uid="{ECFEBFF6-AB65-46C9-BC2D-452FFABFB4DB}"/>
    <hyperlink ref="D5" r:id="rId40" xr:uid="{F68B9D81-0915-4F9B-B311-53515CE0AB15}"/>
    <hyperlink ref="I14" r:id="rId41" display="3.4" xr:uid="{6875C553-585D-45B0-AC72-DA3BDA4DFE58}"/>
    <hyperlink ref="AE14" r:id="rId42" location=":~:text=Leading%2DEdge%20Content.%20Exceptional%20Career%2DReadiness" xr:uid="{51238926-5759-4EC7-B48D-99B0E3026D0D}"/>
    <hyperlink ref="AK14" r:id="rId43" xr:uid="{E7B57249-D925-4F26-9735-6D0A6DF94B71}"/>
    <hyperlink ref="BF14:BG14" r:id="rId44" display="95600" xr:uid="{9313904E-6FE2-4D34-9E16-54AE5F59B9B8}"/>
    <hyperlink ref="Y7" r:id="rId45" xr:uid="{021FD1F1-C980-4402-A975-B9D0E35EC09A}"/>
    <hyperlink ref="V7" r:id="rId46" xr:uid="{A34FA83E-CA91-4530-8F5D-6DCFDD1DD647}"/>
    <hyperlink ref="AK11" r:id="rId47" xr:uid="{C496FDCE-9F22-421A-8365-FDC02D8AFC47}"/>
    <hyperlink ref="BF11:BG11" r:id="rId48" display="92769" xr:uid="{3B49B686-CEB3-4F5A-ACBC-00A1810AEED7}"/>
    <hyperlink ref="AK7" r:id="rId49" xr:uid="{03BB312C-3A04-4669-8849-3491CE4BFF86}"/>
    <hyperlink ref="AE7" r:id="rId50" xr:uid="{BCC0FCAB-507C-498D-8728-551DFDD1B6EC}"/>
    <hyperlink ref="D7" r:id="rId51" xr:uid="{7B26EDF9-2475-4839-B245-EFBC5D57D533}"/>
    <hyperlink ref="AN13:AS13" r:id="rId52" display="1118.37" xr:uid="{0E73FD46-3FE4-4016-9194-55B33300FC57}"/>
    <hyperlink ref="AK13" r:id="rId53" xr:uid="{6AB5D57C-A330-42B6-B654-75BF63DB1830}"/>
    <hyperlink ref="V14" r:id="rId54" xr:uid="{C9F37D67-7BAE-4A82-8A64-3D090FE33DBB}"/>
    <hyperlink ref="AQ12:AR12" r:id="rId55" display="30252" xr:uid="{AD0605B4-6A95-425D-8F10-2CAFB17AEA1F}"/>
    <hyperlink ref="AK12" r:id="rId56" xr:uid="{53CE376A-B401-4F80-8DF4-7C4F6EAE4D4A}"/>
    <hyperlink ref="AE12" r:id="rId57" xr:uid="{D0B9FA53-0E88-4903-9A90-2016B64DCBDA}"/>
    <hyperlink ref="M12:N12" r:id="rId58" display="10.90%" xr:uid="{193C999F-D8B6-4BEC-A2D6-9F2396DB818A}"/>
    <hyperlink ref="G12:K12" r:id="rId59" display="555-675" xr:uid="{15DB3A0A-A0E2-4786-8F73-975F1A952C02}"/>
    <hyperlink ref="G10:O10" r:id="rId60" display="https://premium.usnews.com/best-graduate-schools/top-business-schools/university-of-southern-california-01034" xr:uid="{1E856081-CA79-4A9B-B66C-39CAE4CA9433}"/>
    <hyperlink ref="AN10:AS10" r:id="rId61" display="2421" xr:uid="{CC3DCB2F-1B9A-4152-8227-A49E36AB749A}"/>
    <hyperlink ref="AK10" r:id="rId62" xr:uid="{F8FC479F-037D-48B8-9282-A5C8AA6B1E84}"/>
    <hyperlink ref="AE10" r:id="rId63" xr:uid="{5C4F8774-D3E2-4D45-BBB0-F9D9CB2C03AD}"/>
    <hyperlink ref="Y10" r:id="rId64" location=":~:text=GRADUATE%20GLOBAL%20PROGRAMS" xr:uid="{B1D2C0EA-4F30-4371-B3EF-8F5A5A68FB48}"/>
    <hyperlink ref="D10" r:id="rId65" xr:uid="{9DA18B3E-14BB-4F63-B904-3D8FB07957FD}"/>
    <hyperlink ref="BE10" r:id="rId66" display="82%" xr:uid="{7A3B56ED-F584-43D6-AAEC-908198F3E36A}"/>
    <hyperlink ref="V10" r:id="rId67" location=":~:text=GRADUATE%20STUDENT%20ORGANIZATIONS" xr:uid="{9716E155-FC2C-495E-BB31-E13095AAF628}"/>
    <hyperlink ref="T10" r:id="rId68" location=":~:text=Core-,Curriculum,-FBE%20506%20Quantitative" xr:uid="{BA507E15-4411-44D4-8679-CEF9B8D07037}"/>
    <hyperlink ref="AK9" r:id="rId69" xr:uid="{A8EB4E62-5F41-42AB-81E3-60538CA4DA78}"/>
    <hyperlink ref="AE9" r:id="rId70" xr:uid="{ED14B01B-C82A-47E2-97A2-05B3CF793A58}"/>
    <hyperlink ref="AH9" r:id="rId71" location="appid=info-item-2" xr:uid="{376DA76B-C82A-4AC9-805C-354703DE505F}"/>
    <hyperlink ref="Y9" r:id="rId72" location="appid=info-item-2" xr:uid="{F60302EC-7FE9-4339-AFB7-F5F2C467BA28}"/>
    <hyperlink ref="V9" r:id="rId73" xr:uid="{6C3489A9-5482-4138-82DA-3E03F7E393B4}"/>
    <hyperlink ref="T9" r:id="rId74" location=":~:text=School%20Specialty%20Rankings-,Curriculum,-2026%20Program%20Update" xr:uid="{42547EF7-AD99-4090-B45D-B7FC8AEFD0E1}"/>
    <hyperlink ref="D9" r:id="rId75" xr:uid="{39BCF146-429A-456E-A054-DF15CF9CB3B5}"/>
    <hyperlink ref="BB9" r:id="rId76" location=":~:text=Carroll%20School%20Alumni-,%239%20in%20Finance,-U.S.%20News" display="9" xr:uid="{4CFEA2E5-754C-44AB-9E49-DE799B155596}"/>
    <hyperlink ref="AK8" r:id="rId77" xr:uid="{2D85E489-2D1E-42B1-922E-FEB9866292B1}"/>
    <hyperlink ref="AH8" r:id="rId78" xr:uid="{A3A279BB-0778-4C49-AFAB-5DD4C02AA1C8}"/>
    <hyperlink ref="AE8" r:id="rId79" xr:uid="{AF455446-38E9-4571-A7CA-69A6AAD7153E}"/>
    <hyperlink ref="V8" r:id="rId80" xr:uid="{6B920200-C73F-4FB8-9896-3D0A935F1CCC}"/>
    <hyperlink ref="Y8" r:id="rId81" location=":~:text=Luxury%20Business%20in%20Milan" xr:uid="{B9DCB2C2-356E-42CF-BEC1-78223BCD8FF5}"/>
    <hyperlink ref="T8" r:id="rId82" xr:uid="{232B221C-0E36-4AA4-9E74-E7FF92FE7544}"/>
    <hyperlink ref="K8" r:id="rId83" display="29" xr:uid="{A7CE6A6E-75DF-4766-AD5D-F0A9A3007B74}"/>
    <hyperlink ref="J8" r:id="rId84" display="73" xr:uid="{1C1491A1-78AD-4204-8564-40195634AEC5}"/>
    <hyperlink ref="I8" r:id="rId85" display="3.4" xr:uid="{58EA723B-0B15-4186-80EB-E04C2F547F61}"/>
    <hyperlink ref="D8" r:id="rId86" xr:uid="{05252E4B-542C-42B4-9E13-5565ACBBB995}"/>
    <hyperlink ref="AB6" r:id="rId87" xr:uid="{043C5126-D339-41D7-BE3E-3731B316EE2B}"/>
    <hyperlink ref="M6" r:id="rId88" display="23.1" xr:uid="{E6D5A488-BD79-474E-BAF2-6645DD53A3B9}"/>
    <hyperlink ref="I6" r:id="rId89" display="3.5" xr:uid="{D078A8FD-6FE7-430C-9189-55E771A77305}"/>
    <hyperlink ref="AE6" r:id="rId90" xr:uid="{CC7CADD2-F0C0-4BAF-8EA0-24A1349759E7}"/>
    <hyperlink ref="V6" r:id="rId91" xr:uid="{010A31E3-9C08-4792-A299-431A0853E9CD}"/>
    <hyperlink ref="J6" r:id="rId92" xr:uid="{3784AA5D-2405-432D-BE3A-72C93D08475D}"/>
    <hyperlink ref="BG6" r:id="rId93" display="6600" xr:uid="{CF163282-E9A1-4328-B643-618DE62CFE64}"/>
    <hyperlink ref="BF6" r:id="rId94" display="81227" xr:uid="{274F3276-95B3-43D0-BC3F-1E62675F5EF7}"/>
    <hyperlink ref="N6" r:id="rId95" display="33%" xr:uid="{08671EC5-F00F-4354-9D0F-BE10C8E9A5B5}"/>
    <hyperlink ref="L6" r:id="rId96" display="73" xr:uid="{AD5A7DDF-0BAA-4192-BFCB-D5D1B99B636A}"/>
    <hyperlink ref="G6:H6" r:id="rId97" display="725" xr:uid="{F1C215B2-B922-4681-AA18-9CBFDE82B1F4}"/>
    <hyperlink ref="AK6" r:id="rId98" xr:uid="{0F95DD8E-DF05-42DE-9E3C-57F978E17FA9}"/>
    <hyperlink ref="R6" r:id="rId99" display="36" xr:uid="{A50BD1B0-8C04-406E-8302-E7F633B51734}"/>
    <hyperlink ref="P6" r:id="rId100" display="10" xr:uid="{979A0AE9-D953-42D6-9975-21EF67B113D4}"/>
    <hyperlink ref="T6" r:id="rId101" xr:uid="{8582C446-9856-47D4-9555-9CB08EFE299A}"/>
    <hyperlink ref="D6" r:id="rId102" xr:uid="{DD67D90F-B434-485F-8CA6-EB10E9B6E9B2}"/>
    <hyperlink ref="AK4" r:id="rId103" xr:uid="{EEAB2915-0347-430D-8F13-568811D1E0F0}"/>
    <hyperlink ref="AE4" r:id="rId104" xr:uid="{FDCDF0C4-A46F-41EC-9526-1191C631A3D6}"/>
    <hyperlink ref="AB4" r:id="rId105" xr:uid="{86931882-4892-42A9-BF50-EE57C8FE817E}"/>
    <hyperlink ref="Y4" r:id="rId106" xr:uid="{2806541C-A564-453E-A4B8-CD7F61995E55}"/>
    <hyperlink ref="V4" r:id="rId107" xr:uid="{565D38F2-3133-4608-A6CD-807DAD151948}"/>
    <hyperlink ref="I4:N4" r:id="rId108" display="3.52" xr:uid="{C467D391-1481-407B-AD9E-3EF5A3A5C550}"/>
    <hyperlink ref="G4:H4" r:id="rId109" display="720" xr:uid="{835B19AC-1F08-4B40-A163-9322C254D2B1}"/>
    <hyperlink ref="T4" r:id="rId110" location=":~:text=Ekeocha%20(MSF%20%E2%80%9918).-,Curriculum,-At%20Johns%20Hopkins" xr:uid="{1A1B49D3-DBE9-4E33-A3F0-757D6855B6ED}"/>
    <hyperlink ref="D4" r:id="rId111" xr:uid="{599B0129-602E-4248-BEAA-904C06E9072E}"/>
    <hyperlink ref="T14" r:id="rId112" xr:uid="{849EDD04-FC2E-46EF-BCC1-236C9AF8E71F}"/>
    <hyperlink ref="AE13" r:id="rId113" xr:uid="{6FCDACBF-5618-4B54-B367-D12121454916}"/>
    <hyperlink ref="V13" r:id="rId114" xr:uid="{C497FFF3-1B36-4553-85B9-985FE42C8A99}"/>
    <hyperlink ref="T13" r:id="rId115" xr:uid="{C6DF349C-15F8-4DC6-8BC7-3391305BA19F}"/>
    <hyperlink ref="AE11" r:id="rId116" xr:uid="{EB712BDF-2AE5-4569-A064-7C1B3E16A3CC}"/>
    <hyperlink ref="V11" r:id="rId117" xr:uid="{CAAAE196-6401-4EA5-8ADA-927E95F97ECD}"/>
    <hyperlink ref="T11" r:id="rId118" xr:uid="{B14A0C8B-3EC8-40D3-A236-C2C0AF3473DD}"/>
    <hyperlink ref="AH3" r:id="rId119" xr:uid="{FA0FFBE1-659A-419F-B6C9-99A04C7435D5}"/>
    <hyperlink ref="Y3" r:id="rId120" xr:uid="{A257A77C-C73E-4C8B-B37E-D27E8566072C}"/>
    <hyperlink ref="V3" r:id="rId121" xr:uid="{737D6D0B-6ED7-4E60-94A1-47E33C899434}"/>
    <hyperlink ref="AB3" r:id="rId122" xr:uid="{34391DA3-B98E-4CB8-A2C1-FB24A9B7D363}"/>
    <hyperlink ref="AE3" r:id="rId123" xr:uid="{DF604CDA-86A5-4A3B-A6D1-26C8FED8FDEB}"/>
    <hyperlink ref="T3" r:id="rId124" xr:uid="{6EAF4824-C194-4524-803E-670CA70AB49B}"/>
    <hyperlink ref="AH2" r:id="rId125" xr:uid="{10E2994D-CDEF-420E-9D15-A1E66D425C4C}"/>
    <hyperlink ref="AE2" r:id="rId126" xr:uid="{463FBF1B-3F6F-48E5-B5B1-9491619C2C71}"/>
    <hyperlink ref="AB2" r:id="rId127" xr:uid="{8D835E15-5C6F-4A15-9F7C-5FFB9C9715F0}"/>
    <hyperlink ref="Y2" r:id="rId128" xr:uid="{B801DBF7-D4F6-4325-B4B4-3FEF7DFF5DEC}"/>
    <hyperlink ref="V2" r:id="rId129" xr:uid="{61EF44E5-BD4D-4001-9AD1-F8E625FB1A34}"/>
    <hyperlink ref="T2" r:id="rId130" xr:uid="{FE142DB5-C419-4E70-824C-164B88588BDA}"/>
    <hyperlink ref="D2" r:id="rId131" xr:uid="{DA6F604C-C614-44FB-B94E-7A8DD3F4537C}"/>
    <hyperlink ref="D13" r:id="rId132" xr:uid="{2B7D0EFE-548F-419D-9D69-E4D34C1823F4}"/>
    <hyperlink ref="D14" r:id="rId133" xr:uid="{ADBFCF4E-15F5-4346-B68F-8B812967DC16}"/>
    <hyperlink ref="D12" r:id="rId134" xr:uid="{4EED7209-0BC1-4747-B8AE-1A7595CDF44D}"/>
    <hyperlink ref="D11" r:id="rId135" xr:uid="{1E86E041-8903-4EDA-8800-0A144DA843DE}"/>
    <hyperlink ref="D3" r:id="rId136" xr:uid="{0ADBB603-7C61-4F9F-B9FA-01EA9CE05EC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9142-2DF6-4551-8216-A41701563711}">
  <sheetPr>
    <tabColor rgb="FFFFFF00"/>
  </sheetPr>
  <dimension ref="A1:BR58"/>
  <sheetViews>
    <sheetView workbookViewId="0">
      <pane xSplit="1" topLeftCell="B1" activePane="topRight" state="frozen"/>
      <selection pane="topRight" activeCell="D13" sqref="C13:D13"/>
      <selection activeCell="A2" sqref="A2"/>
    </sheetView>
  </sheetViews>
  <sheetFormatPr defaultColWidth="12.140625" defaultRowHeight="15"/>
  <cols>
    <col min="1" max="1" width="46.85546875" style="27" customWidth="1"/>
    <col min="2" max="2" width="50" style="27" customWidth="1"/>
    <col min="3" max="62" width="12.140625" style="27"/>
    <col min="63" max="63" width="16.5703125" style="27" customWidth="1"/>
    <col min="64" max="64" width="25" style="27" customWidth="1"/>
    <col min="65" max="65" width="28.85546875" style="27" customWidth="1"/>
    <col min="66" max="66" width="32.7109375" style="27" customWidth="1"/>
    <col min="67" max="67" width="29.5703125" style="27" customWidth="1"/>
    <col min="68" max="68" width="32.5703125" style="27" customWidth="1"/>
    <col min="69" max="16384" width="12.140625" style="27"/>
  </cols>
  <sheetData>
    <row r="1" spans="1:70" s="389" customFormat="1">
      <c r="A1" s="265" t="s">
        <v>4</v>
      </c>
      <c r="B1" s="265"/>
      <c r="C1" s="406" t="s">
        <v>7</v>
      </c>
      <c r="D1" s="265" t="s">
        <v>11</v>
      </c>
      <c r="E1" s="265" t="s">
        <v>82</v>
      </c>
      <c r="F1" s="265" t="s">
        <v>83</v>
      </c>
      <c r="G1" s="265" t="s">
        <v>84</v>
      </c>
      <c r="H1" s="265" t="s">
        <v>85</v>
      </c>
      <c r="I1" s="265" t="s">
        <v>14</v>
      </c>
      <c r="J1" s="265" t="s">
        <v>86</v>
      </c>
      <c r="K1" s="265" t="s">
        <v>20</v>
      </c>
      <c r="L1" s="265" t="s">
        <v>21</v>
      </c>
      <c r="M1" s="265" t="s">
        <v>25</v>
      </c>
      <c r="N1" s="265" t="s">
        <v>27</v>
      </c>
      <c r="O1" s="265" t="s">
        <v>28</v>
      </c>
      <c r="P1" s="388" t="s">
        <v>30</v>
      </c>
      <c r="Q1" s="265" t="s">
        <v>118</v>
      </c>
      <c r="R1" s="265" t="s">
        <v>38</v>
      </c>
      <c r="S1" s="265" t="s">
        <v>119</v>
      </c>
      <c r="T1" s="265" t="s">
        <v>952</v>
      </c>
      <c r="U1" s="265" t="s">
        <v>953</v>
      </c>
      <c r="V1" s="265" t="s">
        <v>954</v>
      </c>
      <c r="W1" s="265" t="s">
        <v>955</v>
      </c>
      <c r="X1" s="265" t="s">
        <v>956</v>
      </c>
      <c r="Y1" s="265" t="s">
        <v>957</v>
      </c>
      <c r="Z1" s="265" t="s">
        <v>958</v>
      </c>
      <c r="AA1" s="265" t="s">
        <v>959</v>
      </c>
      <c r="AB1" s="265" t="s">
        <v>960</v>
      </c>
      <c r="AC1" s="265" t="s">
        <v>961</v>
      </c>
      <c r="AD1" s="265" t="s">
        <v>87</v>
      </c>
      <c r="AE1" s="407" t="s">
        <v>88</v>
      </c>
      <c r="AF1" s="407" t="s">
        <v>89</v>
      </c>
      <c r="AG1" s="265" t="s">
        <v>963</v>
      </c>
      <c r="AH1" s="265" t="s">
        <v>964</v>
      </c>
      <c r="AI1" s="265" t="s">
        <v>965</v>
      </c>
      <c r="AJ1" s="265" t="s">
        <v>269</v>
      </c>
      <c r="AK1" s="265" t="s">
        <v>270</v>
      </c>
      <c r="AL1" s="265" t="s">
        <v>966</v>
      </c>
      <c r="AM1" s="265" t="s">
        <v>967</v>
      </c>
      <c r="AN1" s="265" t="s">
        <v>94</v>
      </c>
      <c r="AO1" s="265" t="s">
        <v>95</v>
      </c>
      <c r="AP1" s="265" t="s">
        <v>96</v>
      </c>
      <c r="AQ1" s="265" t="s">
        <v>97</v>
      </c>
      <c r="AR1" s="265" t="s">
        <v>98</v>
      </c>
      <c r="AS1" s="265" t="s">
        <v>99</v>
      </c>
      <c r="AT1" s="265" t="s">
        <v>126</v>
      </c>
      <c r="AU1" s="265" t="s">
        <v>127</v>
      </c>
      <c r="AV1" s="265" t="s">
        <v>128</v>
      </c>
      <c r="AW1" s="265" t="s">
        <v>968</v>
      </c>
      <c r="AX1" s="265" t="s">
        <v>68</v>
      </c>
      <c r="AY1" s="265" t="s">
        <v>70</v>
      </c>
      <c r="AZ1" s="265" t="s">
        <v>74</v>
      </c>
      <c r="BA1" s="265" t="s">
        <v>76</v>
      </c>
      <c r="BB1" s="265" t="s">
        <v>1376</v>
      </c>
      <c r="BC1" s="265" t="s">
        <v>64</v>
      </c>
      <c r="BD1" s="265" t="s">
        <v>101</v>
      </c>
      <c r="BE1" s="265" t="s">
        <v>102</v>
      </c>
      <c r="BF1" s="265" t="s">
        <v>69</v>
      </c>
      <c r="BG1" s="265" t="s">
        <v>71</v>
      </c>
      <c r="BH1" s="384" t="s">
        <v>969</v>
      </c>
      <c r="BI1" s="384" t="s">
        <v>970</v>
      </c>
      <c r="BJ1" s="384" t="s">
        <v>971</v>
      </c>
      <c r="BK1" s="384" t="s">
        <v>1055</v>
      </c>
      <c r="BL1" s="384" t="s">
        <v>1056</v>
      </c>
      <c r="BM1" s="384" t="s">
        <v>1057</v>
      </c>
      <c r="BN1" s="384" t="s">
        <v>1058</v>
      </c>
      <c r="BO1" s="384" t="s">
        <v>1059</v>
      </c>
      <c r="BP1" s="384" t="s">
        <v>1060</v>
      </c>
      <c r="BQ1" s="384" t="s">
        <v>1061</v>
      </c>
      <c r="BR1" s="384" t="s">
        <v>1062</v>
      </c>
    </row>
    <row r="2" spans="1:70" s="390" customFormat="1">
      <c r="A2" s="265" t="s">
        <v>132</v>
      </c>
      <c r="B2" s="63" t="s">
        <v>133</v>
      </c>
      <c r="C2" s="408" t="s">
        <v>1377</v>
      </c>
      <c r="D2" s="64" t="s">
        <v>1378</v>
      </c>
      <c r="E2" s="63" t="s">
        <v>136</v>
      </c>
      <c r="F2" s="42" t="s">
        <v>137</v>
      </c>
      <c r="G2" s="42" t="s">
        <v>138</v>
      </c>
      <c r="H2" s="42" t="s">
        <v>138</v>
      </c>
      <c r="I2" s="41">
        <v>3.52</v>
      </c>
      <c r="J2" s="149" t="s">
        <v>472</v>
      </c>
      <c r="K2" s="42"/>
      <c r="L2" s="42"/>
      <c r="M2" s="42"/>
      <c r="N2" s="102">
        <v>0.75</v>
      </c>
      <c r="O2" s="42" t="s">
        <v>139</v>
      </c>
      <c r="P2" s="92" t="s">
        <v>1379</v>
      </c>
      <c r="Q2" s="57" t="s">
        <v>990</v>
      </c>
      <c r="R2" s="42">
        <v>36</v>
      </c>
      <c r="S2" s="42" t="s">
        <v>1380</v>
      </c>
      <c r="T2" s="41" t="s">
        <v>1381</v>
      </c>
      <c r="U2" s="42" t="s">
        <v>141</v>
      </c>
      <c r="V2" s="409" t="s">
        <v>979</v>
      </c>
      <c r="W2" s="83" t="s">
        <v>1382</v>
      </c>
      <c r="X2" s="83" t="s">
        <v>141</v>
      </c>
      <c r="Y2" s="56" t="s">
        <v>1383</v>
      </c>
      <c r="Z2" s="83" t="s">
        <v>1384</v>
      </c>
      <c r="AA2" s="83" t="s">
        <v>141</v>
      </c>
      <c r="AB2" s="56" t="s">
        <v>979</v>
      </c>
      <c r="AC2" s="83" t="s">
        <v>1385</v>
      </c>
      <c r="AD2" s="42" t="s">
        <v>141</v>
      </c>
      <c r="AE2" s="41" t="s">
        <v>1386</v>
      </c>
      <c r="AF2" s="79" t="s">
        <v>1387</v>
      </c>
      <c r="AG2" s="57" t="s">
        <v>139</v>
      </c>
      <c r="AH2" s="57" t="s">
        <v>138</v>
      </c>
      <c r="AI2" s="57" t="s">
        <v>138</v>
      </c>
      <c r="AJ2" s="42" t="s">
        <v>141</v>
      </c>
      <c r="AK2" s="46" t="s">
        <v>558</v>
      </c>
      <c r="AL2" s="42" t="s">
        <v>141</v>
      </c>
      <c r="AM2" s="73" t="s">
        <v>1388</v>
      </c>
      <c r="AN2" s="160">
        <v>899</v>
      </c>
      <c r="AO2" s="160">
        <v>1160</v>
      </c>
      <c r="AP2" s="160">
        <v>1250</v>
      </c>
      <c r="AQ2" s="160">
        <v>32364</v>
      </c>
      <c r="AR2" s="160">
        <v>41760</v>
      </c>
      <c r="AS2" s="160">
        <v>45000</v>
      </c>
      <c r="AT2" s="185">
        <f t="shared" ref="AT2:AT7" si="0">(AQ2/(SUM($BF2:$BG2)))*12</f>
        <v>4.2803390166752999</v>
      </c>
      <c r="AU2" s="185">
        <f t="shared" ref="AU2:AV2" si="1">(AR2/(SUM($BF2:$BG2)))*12</f>
        <v>5.5230180860326454</v>
      </c>
      <c r="AV2" s="185">
        <f t="shared" si="1"/>
        <v>5.9515281099489714</v>
      </c>
      <c r="AW2" s="57" t="s">
        <v>141</v>
      </c>
      <c r="AX2" s="57" t="s">
        <v>138</v>
      </c>
      <c r="AY2" s="57" t="s">
        <v>138</v>
      </c>
      <c r="AZ2" s="57" t="s">
        <v>1206</v>
      </c>
      <c r="BA2" s="148">
        <v>50000</v>
      </c>
      <c r="BB2" s="42" t="s">
        <v>138</v>
      </c>
      <c r="BC2" s="41">
        <v>1</v>
      </c>
      <c r="BD2" s="57" t="s">
        <v>138</v>
      </c>
      <c r="BE2" s="54">
        <v>0.85</v>
      </c>
      <c r="BF2" s="166">
        <v>82933</v>
      </c>
      <c r="BG2" s="223">
        <v>7800</v>
      </c>
      <c r="BH2" s="341">
        <f>((BF2-(AQ2+$BA$2))/(AQ2+$BA$2))</f>
        <v>6.9083580204943908E-3</v>
      </c>
      <c r="BI2" s="341">
        <f>(($BF$2-(AR2+$BA$2))/(AR2+$BA$2))</f>
        <v>-9.6196599825632084E-2</v>
      </c>
      <c r="BJ2" s="341">
        <f>(($BF$2-(AS2+$BA$2))/(AS2+$BA$2))</f>
        <v>-0.12702105263157895</v>
      </c>
      <c r="BK2" s="163">
        <v>899</v>
      </c>
      <c r="BL2" s="163">
        <v>1160</v>
      </c>
      <c r="BM2" s="163">
        <v>1250</v>
      </c>
      <c r="BN2" s="163">
        <v>32364</v>
      </c>
      <c r="BO2" s="163">
        <v>41760</v>
      </c>
      <c r="BP2" s="163">
        <v>45000</v>
      </c>
      <c r="BQ2" s="163" t="s">
        <v>1389</v>
      </c>
      <c r="BR2" s="163" t="s">
        <v>1075</v>
      </c>
    </row>
    <row r="3" spans="1:70">
      <c r="A3" s="265" t="s">
        <v>1390</v>
      </c>
      <c r="B3" s="39" t="s">
        <v>1391</v>
      </c>
      <c r="C3" s="408" t="s">
        <v>1392</v>
      </c>
      <c r="D3" s="48" t="s">
        <v>1393</v>
      </c>
      <c r="E3" s="39" t="s">
        <v>346</v>
      </c>
      <c r="F3" s="42" t="s">
        <v>1394</v>
      </c>
      <c r="G3" s="41">
        <v>570</v>
      </c>
      <c r="H3" s="41">
        <v>309</v>
      </c>
      <c r="I3" s="41">
        <v>3.5</v>
      </c>
      <c r="J3" s="42" t="s">
        <v>138</v>
      </c>
      <c r="K3" s="46">
        <v>28</v>
      </c>
      <c r="L3" s="46">
        <v>280</v>
      </c>
      <c r="M3" s="41" t="s">
        <v>138</v>
      </c>
      <c r="N3" s="81">
        <v>0.56799999999999995</v>
      </c>
      <c r="O3" s="42" t="s">
        <v>139</v>
      </c>
      <c r="P3" s="42">
        <v>16</v>
      </c>
      <c r="Q3" s="57" t="s">
        <v>990</v>
      </c>
      <c r="R3" s="42">
        <v>27</v>
      </c>
      <c r="S3" s="42" t="s">
        <v>1395</v>
      </c>
      <c r="T3" s="41" t="s">
        <v>1396</v>
      </c>
      <c r="U3" s="79" t="s">
        <v>141</v>
      </c>
      <c r="V3" s="41" t="s">
        <v>1397</v>
      </c>
      <c r="W3" s="42" t="s">
        <v>1398</v>
      </c>
      <c r="X3" s="42" t="s">
        <v>141</v>
      </c>
      <c r="Y3" s="41" t="s">
        <v>1399</v>
      </c>
      <c r="Z3" s="42" t="s">
        <v>1400</v>
      </c>
      <c r="AA3" s="42" t="s">
        <v>139</v>
      </c>
      <c r="AB3" s="42" t="s">
        <v>138</v>
      </c>
      <c r="AC3" s="42" t="s">
        <v>138</v>
      </c>
      <c r="AD3" s="42" t="s">
        <v>141</v>
      </c>
      <c r="AE3" s="41" t="s">
        <v>1396</v>
      </c>
      <c r="AF3" s="42" t="s">
        <v>1401</v>
      </c>
      <c r="AG3" s="42" t="s">
        <v>141</v>
      </c>
      <c r="AH3" s="46" t="s">
        <v>1402</v>
      </c>
      <c r="AI3" s="42" t="s">
        <v>1403</v>
      </c>
      <c r="AJ3" s="42" t="s">
        <v>141</v>
      </c>
      <c r="AK3" s="46" t="s">
        <v>1404</v>
      </c>
      <c r="AL3" s="42" t="s">
        <v>139</v>
      </c>
      <c r="AM3" s="57" t="s">
        <v>138</v>
      </c>
      <c r="AN3" s="166">
        <v>600</v>
      </c>
      <c r="AO3" s="166">
        <v>1031</v>
      </c>
      <c r="AP3" s="166">
        <v>1031</v>
      </c>
      <c r="AQ3" s="166">
        <v>27000</v>
      </c>
      <c r="AR3" s="166">
        <v>40405</v>
      </c>
      <c r="AS3" s="166">
        <v>40405</v>
      </c>
      <c r="AT3" s="185">
        <f t="shared" si="0"/>
        <v>3.5171897219900345</v>
      </c>
      <c r="AU3" s="185">
        <f t="shared" ref="AU3" si="2">(AR3/(SUM($BF3:$BG3)))*12</f>
        <v>5.2634092858150865</v>
      </c>
      <c r="AV3" s="185">
        <f>(AS3/(SUM($BF3:$BG3)))*12</f>
        <v>5.2634092858150865</v>
      </c>
      <c r="AW3" s="42" t="s">
        <v>141</v>
      </c>
      <c r="AX3" s="57" t="s">
        <v>138</v>
      </c>
      <c r="AY3" s="57" t="s">
        <v>138</v>
      </c>
      <c r="AZ3" s="57" t="s">
        <v>1405</v>
      </c>
      <c r="BA3" s="148">
        <v>43728</v>
      </c>
      <c r="BB3" s="42" t="s">
        <v>138</v>
      </c>
      <c r="BC3" s="46">
        <v>29</v>
      </c>
      <c r="BD3" s="57" t="s">
        <v>138</v>
      </c>
      <c r="BE3" s="42">
        <v>95</v>
      </c>
      <c r="BF3" s="166">
        <v>92119</v>
      </c>
      <c r="BG3" s="166" t="s">
        <v>138</v>
      </c>
      <c r="BH3" s="341">
        <f t="shared" ref="BH3:BJ14" si="3">(($BF$2-(AQ3+$BA$2))/(AQ3+$BA$2))</f>
        <v>7.7051948051948052E-2</v>
      </c>
      <c r="BI3" s="341">
        <f t="shared" si="3"/>
        <v>-8.2650295890714015E-2</v>
      </c>
      <c r="BJ3" s="341">
        <f t="shared" si="3"/>
        <v>-8.2650295890714015E-2</v>
      </c>
      <c r="BK3" s="163">
        <v>600</v>
      </c>
      <c r="BL3" s="163">
        <v>1031</v>
      </c>
      <c r="BM3" s="163">
        <v>1031</v>
      </c>
      <c r="BN3" s="163">
        <v>27000</v>
      </c>
      <c r="BO3" s="163">
        <v>46405</v>
      </c>
      <c r="BP3" s="163">
        <v>46405</v>
      </c>
      <c r="BQ3" s="163" t="s">
        <v>1406</v>
      </c>
      <c r="BR3" s="163" t="s">
        <v>1170</v>
      </c>
    </row>
    <row r="4" spans="1:70" s="390" customFormat="1">
      <c r="A4" s="265" t="s">
        <v>860</v>
      </c>
      <c r="B4" s="63" t="s">
        <v>589</v>
      </c>
      <c r="C4" s="408" t="s">
        <v>590</v>
      </c>
      <c r="D4" s="64" t="s">
        <v>1407</v>
      </c>
      <c r="E4" s="63" t="s">
        <v>864</v>
      </c>
      <c r="F4" s="57" t="s">
        <v>231</v>
      </c>
      <c r="G4" s="57" t="s">
        <v>138</v>
      </c>
      <c r="H4" s="57" t="s">
        <v>138</v>
      </c>
      <c r="I4" s="57" t="s">
        <v>138</v>
      </c>
      <c r="J4" s="57" t="s">
        <v>138</v>
      </c>
      <c r="K4" s="73">
        <v>24.5</v>
      </c>
      <c r="L4" s="73">
        <v>161</v>
      </c>
      <c r="M4" s="74">
        <v>0.32</v>
      </c>
      <c r="N4" s="87">
        <v>0.68</v>
      </c>
      <c r="O4" s="57" t="s">
        <v>139</v>
      </c>
      <c r="P4" s="57">
        <v>18</v>
      </c>
      <c r="Q4" s="57" t="s">
        <v>1408</v>
      </c>
      <c r="R4" s="57">
        <v>48</v>
      </c>
      <c r="S4" s="57" t="s">
        <v>138</v>
      </c>
      <c r="T4" s="73" t="s">
        <v>1409</v>
      </c>
      <c r="U4" s="57" t="s">
        <v>141</v>
      </c>
      <c r="V4" s="73" t="s">
        <v>1407</v>
      </c>
      <c r="W4" s="57" t="s">
        <v>1410</v>
      </c>
      <c r="X4" s="57" t="s">
        <v>139</v>
      </c>
      <c r="Y4" s="57" t="s">
        <v>138</v>
      </c>
      <c r="Z4" s="57" t="s">
        <v>138</v>
      </c>
      <c r="AA4" s="57" t="s">
        <v>139</v>
      </c>
      <c r="AB4" s="57" t="s">
        <v>138</v>
      </c>
      <c r="AC4" s="57" t="s">
        <v>138</v>
      </c>
      <c r="AD4" s="57" t="s">
        <v>141</v>
      </c>
      <c r="AE4" s="385" t="s">
        <v>1407</v>
      </c>
      <c r="AF4" s="57" t="s">
        <v>1411</v>
      </c>
      <c r="AG4" s="57" t="s">
        <v>139</v>
      </c>
      <c r="AH4" s="57" t="s">
        <v>138</v>
      </c>
      <c r="AI4" s="57" t="s">
        <v>138</v>
      </c>
      <c r="AJ4" s="57" t="s">
        <v>141</v>
      </c>
      <c r="AK4" s="73" t="s">
        <v>599</v>
      </c>
      <c r="AL4" s="57" t="s">
        <v>139</v>
      </c>
      <c r="AM4" s="57" t="s">
        <v>138</v>
      </c>
      <c r="AN4" s="160">
        <v>755</v>
      </c>
      <c r="AO4" s="160">
        <v>755</v>
      </c>
      <c r="AP4" s="160">
        <v>755</v>
      </c>
      <c r="AQ4" s="160">
        <v>36240</v>
      </c>
      <c r="AR4" s="160">
        <v>36240</v>
      </c>
      <c r="AS4" s="160">
        <v>36240</v>
      </c>
      <c r="AT4" s="185">
        <f t="shared" si="0"/>
        <v>4.6862068965517238</v>
      </c>
      <c r="AU4" s="185">
        <f t="shared" ref="AU4:AU6" si="4">(AR4/(SUM($BF4:$BG4)))*12</f>
        <v>4.6862068965517238</v>
      </c>
      <c r="AV4" s="185">
        <f>(AS4/(SUM($BF4:$BG4)))*12</f>
        <v>4.6862068965517238</v>
      </c>
      <c r="AW4" s="57" t="s">
        <v>141</v>
      </c>
      <c r="AX4" s="57" t="s">
        <v>138</v>
      </c>
      <c r="AY4" s="57" t="s">
        <v>138</v>
      </c>
      <c r="AZ4" s="57" t="s">
        <v>1220</v>
      </c>
      <c r="BA4" s="148">
        <v>46318</v>
      </c>
      <c r="BB4" s="42" t="s">
        <v>138</v>
      </c>
      <c r="BC4" s="57" t="s">
        <v>138</v>
      </c>
      <c r="BD4" s="57" t="s">
        <v>138</v>
      </c>
      <c r="BE4" s="73">
        <v>94</v>
      </c>
      <c r="BF4" s="167">
        <v>82000</v>
      </c>
      <c r="BG4" s="167">
        <v>10800</v>
      </c>
      <c r="BH4" s="341">
        <f t="shared" si="3"/>
        <v>-3.8346474953617808E-2</v>
      </c>
      <c r="BI4" s="341">
        <f t="shared" si="3"/>
        <v>-3.8346474953617808E-2</v>
      </c>
      <c r="BJ4" s="341">
        <f t="shared" si="3"/>
        <v>-3.8346474953617808E-2</v>
      </c>
      <c r="BK4" s="163">
        <v>780</v>
      </c>
      <c r="BL4" s="163">
        <v>780</v>
      </c>
      <c r="BM4" s="163">
        <v>780</v>
      </c>
      <c r="BN4" s="163">
        <v>37440</v>
      </c>
      <c r="BO4" s="163">
        <v>37440</v>
      </c>
      <c r="BP4" s="163">
        <v>37440</v>
      </c>
      <c r="BQ4" s="163" t="s">
        <v>1412</v>
      </c>
      <c r="BR4" s="163" t="s">
        <v>1075</v>
      </c>
    </row>
    <row r="5" spans="1:70" s="390" customFormat="1">
      <c r="A5" s="265" t="s">
        <v>1091</v>
      </c>
      <c r="B5" s="63" t="s">
        <v>1092</v>
      </c>
      <c r="C5" s="408" t="s">
        <v>1413</v>
      </c>
      <c r="D5" s="64" t="s">
        <v>1414</v>
      </c>
      <c r="E5" s="63" t="s">
        <v>1415</v>
      </c>
      <c r="F5" s="57" t="s">
        <v>1095</v>
      </c>
      <c r="G5" s="73" t="s">
        <v>138</v>
      </c>
      <c r="H5" s="73" t="s">
        <v>138</v>
      </c>
      <c r="I5" s="73">
        <v>3.4</v>
      </c>
      <c r="J5" s="73" t="s">
        <v>1416</v>
      </c>
      <c r="K5" s="73">
        <v>26</v>
      </c>
      <c r="L5" s="73">
        <v>31</v>
      </c>
      <c r="M5" s="73" t="s">
        <v>138</v>
      </c>
      <c r="N5" s="73" t="s">
        <v>138</v>
      </c>
      <c r="O5" s="57" t="s">
        <v>139</v>
      </c>
      <c r="P5" s="57" t="s">
        <v>1417</v>
      </c>
      <c r="Q5" s="57" t="s">
        <v>1408</v>
      </c>
      <c r="R5" s="57">
        <v>40</v>
      </c>
      <c r="S5" s="57" t="s">
        <v>1418</v>
      </c>
      <c r="T5" s="73" t="s">
        <v>1419</v>
      </c>
      <c r="U5" s="57" t="s">
        <v>141</v>
      </c>
      <c r="V5" s="385" t="s">
        <v>1420</v>
      </c>
      <c r="W5" s="57" t="s">
        <v>1421</v>
      </c>
      <c r="X5" s="57" t="s">
        <v>141</v>
      </c>
      <c r="Y5" s="73" t="s">
        <v>1422</v>
      </c>
      <c r="Z5" s="57" t="s">
        <v>1423</v>
      </c>
      <c r="AA5" s="57" t="s">
        <v>139</v>
      </c>
      <c r="AB5" s="57" t="s">
        <v>138</v>
      </c>
      <c r="AC5" s="57" t="s">
        <v>138</v>
      </c>
      <c r="AD5" s="57" t="s">
        <v>141</v>
      </c>
      <c r="AE5" s="73" t="s">
        <v>1419</v>
      </c>
      <c r="AF5" s="57" t="s">
        <v>1424</v>
      </c>
      <c r="AG5" s="57" t="s">
        <v>139</v>
      </c>
      <c r="AH5" s="57" t="s">
        <v>138</v>
      </c>
      <c r="AI5" s="57" t="s">
        <v>138</v>
      </c>
      <c r="AJ5" s="57" t="s">
        <v>141</v>
      </c>
      <c r="AK5" s="73" t="s">
        <v>1425</v>
      </c>
      <c r="AL5" s="57" t="s">
        <v>138</v>
      </c>
      <c r="AM5" s="57" t="s">
        <v>138</v>
      </c>
      <c r="AN5" s="160">
        <v>1200</v>
      </c>
      <c r="AO5" s="160">
        <v>2010</v>
      </c>
      <c r="AP5" s="160">
        <v>2010</v>
      </c>
      <c r="AQ5" s="160">
        <v>36000</v>
      </c>
      <c r="AR5" s="160">
        <v>60300</v>
      </c>
      <c r="AS5" s="160">
        <v>60300</v>
      </c>
      <c r="AT5" s="185">
        <f t="shared" si="0"/>
        <v>5.3954138981865416</v>
      </c>
      <c r="AU5" s="185">
        <f t="shared" si="4"/>
        <v>9.0373182794624558</v>
      </c>
      <c r="AV5" s="185">
        <f>(AS5/(SUM($BF5:$BG5)))*12</f>
        <v>9.0373182794624558</v>
      </c>
      <c r="AW5" s="57" t="s">
        <v>141</v>
      </c>
      <c r="AX5" s="57" t="s">
        <v>138</v>
      </c>
      <c r="AY5" s="57" t="s">
        <v>138</v>
      </c>
      <c r="AZ5" s="57" t="s">
        <v>1426</v>
      </c>
      <c r="BA5" s="99">
        <v>45536</v>
      </c>
      <c r="BB5" s="42" t="s">
        <v>138</v>
      </c>
      <c r="BC5" s="73">
        <v>25</v>
      </c>
      <c r="BD5" s="57" t="s">
        <v>138</v>
      </c>
      <c r="BE5" s="57">
        <v>91</v>
      </c>
      <c r="BF5" s="160">
        <v>80068</v>
      </c>
      <c r="BG5" s="160" t="s">
        <v>138</v>
      </c>
      <c r="BH5" s="341">
        <f t="shared" si="3"/>
        <v>-3.5662790697674418E-2</v>
      </c>
      <c r="BI5" s="341">
        <f t="shared" si="3"/>
        <v>-0.24811423390752493</v>
      </c>
      <c r="BJ5" s="341">
        <f t="shared" si="3"/>
        <v>-0.24811423390752493</v>
      </c>
      <c r="BK5" s="163">
        <v>900</v>
      </c>
      <c r="BL5" s="163">
        <v>1507.5</v>
      </c>
      <c r="BM5" s="163">
        <v>1507.5</v>
      </c>
      <c r="BN5" s="163">
        <v>36000</v>
      </c>
      <c r="BO5" s="163">
        <v>60300</v>
      </c>
      <c r="BP5" s="163">
        <v>60300</v>
      </c>
      <c r="BQ5" s="163" t="s">
        <v>1414</v>
      </c>
      <c r="BR5" s="163" t="s">
        <v>1075</v>
      </c>
    </row>
    <row r="6" spans="1:70">
      <c r="A6" s="265" t="s">
        <v>1427</v>
      </c>
      <c r="B6" s="39" t="s">
        <v>157</v>
      </c>
      <c r="C6" s="408" t="s">
        <v>1428</v>
      </c>
      <c r="D6" s="48" t="s">
        <v>1429</v>
      </c>
      <c r="E6" s="39" t="s">
        <v>160</v>
      </c>
      <c r="F6" s="42" t="s">
        <v>161</v>
      </c>
      <c r="G6" s="41">
        <v>533</v>
      </c>
      <c r="H6" s="41" t="s">
        <v>1430</v>
      </c>
      <c r="I6" s="41">
        <v>3.3</v>
      </c>
      <c r="J6" s="41">
        <v>36</v>
      </c>
      <c r="K6" s="41">
        <v>26</v>
      </c>
      <c r="L6" s="46">
        <v>801</v>
      </c>
      <c r="M6" s="81">
        <v>0.14599999999999999</v>
      </c>
      <c r="N6" s="81">
        <v>0.46200000000000002</v>
      </c>
      <c r="O6" s="42" t="s">
        <v>139</v>
      </c>
      <c r="P6" s="42">
        <v>16</v>
      </c>
      <c r="Q6" s="57" t="s">
        <v>990</v>
      </c>
      <c r="R6" s="42">
        <v>37</v>
      </c>
      <c r="S6" s="42" t="s">
        <v>1431</v>
      </c>
      <c r="T6" s="41" t="s">
        <v>603</v>
      </c>
      <c r="U6" s="42" t="s">
        <v>141</v>
      </c>
      <c r="V6" s="44" t="s">
        <v>1429</v>
      </c>
      <c r="W6" s="337" t="s">
        <v>1432</v>
      </c>
      <c r="X6" s="42" t="s">
        <v>141</v>
      </c>
      <c r="Y6" s="42" t="s">
        <v>138</v>
      </c>
      <c r="Z6" s="42" t="s">
        <v>138</v>
      </c>
      <c r="AA6" s="42" t="s">
        <v>139</v>
      </c>
      <c r="AB6" s="42" t="s">
        <v>138</v>
      </c>
      <c r="AC6" s="42" t="s">
        <v>138</v>
      </c>
      <c r="AD6" s="42" t="s">
        <v>139</v>
      </c>
      <c r="AE6" s="276" t="s">
        <v>138</v>
      </c>
      <c r="AF6" s="42" t="s">
        <v>138</v>
      </c>
      <c r="AG6" s="42" t="s">
        <v>141</v>
      </c>
      <c r="AH6" s="44" t="s">
        <v>1429</v>
      </c>
      <c r="AI6" s="42" t="s">
        <v>1433</v>
      </c>
      <c r="AJ6" s="42" t="s">
        <v>141</v>
      </c>
      <c r="AK6" s="46" t="s">
        <v>1434</v>
      </c>
      <c r="AL6" s="57" t="s">
        <v>138</v>
      </c>
      <c r="AM6" s="57" t="s">
        <v>138</v>
      </c>
      <c r="AN6" s="166">
        <v>707</v>
      </c>
      <c r="AO6" s="166">
        <v>1087</v>
      </c>
      <c r="AP6" s="166">
        <v>1087</v>
      </c>
      <c r="AQ6" s="166">
        <v>26164</v>
      </c>
      <c r="AR6" s="166">
        <v>40222</v>
      </c>
      <c r="AS6" s="166">
        <v>40222</v>
      </c>
      <c r="AT6" s="185">
        <f t="shared" si="0"/>
        <v>3.4126956521739134</v>
      </c>
      <c r="AU6" s="185">
        <f t="shared" si="4"/>
        <v>5.2463478260869563</v>
      </c>
      <c r="AV6" s="185">
        <f t="shared" ref="AV6" si="5">(AS6/(SUM($BF6:$BG6)))*12</f>
        <v>5.2463478260869563</v>
      </c>
      <c r="AW6" s="42" t="s">
        <v>141</v>
      </c>
      <c r="AX6" s="57" t="s">
        <v>138</v>
      </c>
      <c r="AY6" s="57" t="s">
        <v>138</v>
      </c>
      <c r="AZ6" s="57" t="s">
        <v>138</v>
      </c>
      <c r="BA6" s="42" t="s">
        <v>138</v>
      </c>
      <c r="BB6" s="42" t="s">
        <v>138</v>
      </c>
      <c r="BC6" s="163" t="s">
        <v>138</v>
      </c>
      <c r="BD6" s="57" t="s">
        <v>138</v>
      </c>
      <c r="BE6" s="42" t="s">
        <v>138</v>
      </c>
      <c r="BF6" s="166">
        <v>92000</v>
      </c>
      <c r="BG6" s="160" t="s">
        <v>138</v>
      </c>
      <c r="BH6" s="341">
        <f t="shared" si="3"/>
        <v>8.8874008718029515E-2</v>
      </c>
      <c r="BI6" s="341">
        <f t="shared" si="3"/>
        <v>-8.078960785617699E-2</v>
      </c>
      <c r="BJ6" s="341">
        <f t="shared" si="3"/>
        <v>-8.078960785617699E-2</v>
      </c>
      <c r="BK6" s="163">
        <v>707.14</v>
      </c>
      <c r="BL6" s="163">
        <v>1087.08</v>
      </c>
      <c r="BM6" s="163">
        <v>1087.08</v>
      </c>
      <c r="BN6" s="163">
        <v>26164</v>
      </c>
      <c r="BO6" s="163">
        <v>40222</v>
      </c>
      <c r="BP6" s="163">
        <v>40222</v>
      </c>
      <c r="BQ6" s="163" t="s">
        <v>1435</v>
      </c>
      <c r="BR6" s="163" t="s">
        <v>1075</v>
      </c>
    </row>
    <row r="7" spans="1:70">
      <c r="A7" s="265" t="s">
        <v>1333</v>
      </c>
      <c r="B7" s="39" t="s">
        <v>1334</v>
      </c>
      <c r="C7" s="408" t="s">
        <v>1377</v>
      </c>
      <c r="D7" s="48" t="s">
        <v>1436</v>
      </c>
      <c r="E7" s="39" t="s">
        <v>262</v>
      </c>
      <c r="F7" s="42" t="s">
        <v>263</v>
      </c>
      <c r="G7" s="41">
        <v>575</v>
      </c>
      <c r="H7" s="41" t="s">
        <v>1437</v>
      </c>
      <c r="I7" s="41">
        <v>3.49</v>
      </c>
      <c r="J7" s="41">
        <v>53</v>
      </c>
      <c r="K7" s="41">
        <v>27</v>
      </c>
      <c r="L7" s="41">
        <v>302</v>
      </c>
      <c r="M7" s="81">
        <v>0.109</v>
      </c>
      <c r="N7" s="81">
        <v>0.48699999999999999</v>
      </c>
      <c r="O7" s="42" t="s">
        <v>139</v>
      </c>
      <c r="P7" s="42" t="s">
        <v>1438</v>
      </c>
      <c r="Q7" s="57" t="s">
        <v>990</v>
      </c>
      <c r="R7" s="42">
        <v>39</v>
      </c>
      <c r="S7" s="42" t="s">
        <v>1439</v>
      </c>
      <c r="T7" s="41" t="s">
        <v>1440</v>
      </c>
      <c r="U7" s="42" t="s">
        <v>141</v>
      </c>
      <c r="V7" s="410" t="s">
        <v>1436</v>
      </c>
      <c r="W7" s="42" t="s">
        <v>1441</v>
      </c>
      <c r="X7" s="42" t="s">
        <v>139</v>
      </c>
      <c r="Y7" s="42" t="s">
        <v>138</v>
      </c>
      <c r="Z7" s="42" t="s">
        <v>138</v>
      </c>
      <c r="AA7" s="42" t="s">
        <v>139</v>
      </c>
      <c r="AB7" s="42" t="s">
        <v>138</v>
      </c>
      <c r="AC7" s="42" t="s">
        <v>138</v>
      </c>
      <c r="AD7" s="42" t="s">
        <v>138</v>
      </c>
      <c r="AE7" s="163" t="s">
        <v>138</v>
      </c>
      <c r="AF7" s="42" t="s">
        <v>1442</v>
      </c>
      <c r="AG7" s="150" t="s">
        <v>1443</v>
      </c>
      <c r="AH7" s="151" t="s">
        <v>1444</v>
      </c>
      <c r="AI7" s="150" t="s">
        <v>1445</v>
      </c>
      <c r="AJ7" s="150" t="s">
        <v>141</v>
      </c>
      <c r="AK7" s="151" t="s">
        <v>1446</v>
      </c>
      <c r="AL7" s="76" t="s">
        <v>138</v>
      </c>
      <c r="AM7" s="76" t="s">
        <v>138</v>
      </c>
      <c r="AN7" s="166">
        <v>899</v>
      </c>
      <c r="AO7" s="166">
        <v>1411</v>
      </c>
      <c r="AP7" s="166">
        <v>1411</v>
      </c>
      <c r="AQ7" s="166">
        <v>35044</v>
      </c>
      <c r="AR7" s="166">
        <v>55044</v>
      </c>
      <c r="AS7" s="166">
        <v>55044</v>
      </c>
      <c r="AT7" s="185">
        <f t="shared" si="0"/>
        <v>4.9473882352941176</v>
      </c>
      <c r="AU7" s="185">
        <f t="shared" ref="AU7" si="6">(AR7/(SUM($BF7:$BG7)))*12</f>
        <v>7.7709176470588233</v>
      </c>
      <c r="AV7" s="185">
        <f t="shared" ref="AV7" si="7">(AS7/(SUM($BF7:$BG7)))*12</f>
        <v>7.7709176470588233</v>
      </c>
      <c r="AW7" s="42" t="s">
        <v>141</v>
      </c>
      <c r="AX7" s="57" t="s">
        <v>138</v>
      </c>
      <c r="AY7" s="57" t="s">
        <v>138</v>
      </c>
      <c r="AZ7" s="57" t="s">
        <v>1220</v>
      </c>
      <c r="BA7" s="148">
        <v>48712</v>
      </c>
      <c r="BB7" s="42" t="s">
        <v>138</v>
      </c>
      <c r="BC7" s="41">
        <v>11</v>
      </c>
      <c r="BD7" s="57" t="s">
        <v>138</v>
      </c>
      <c r="BE7" s="42" t="s">
        <v>138</v>
      </c>
      <c r="BF7" s="223">
        <v>85000</v>
      </c>
      <c r="BG7" s="160" t="s">
        <v>138</v>
      </c>
      <c r="BH7" s="341">
        <f t="shared" si="3"/>
        <v>-2.4822444852076572E-2</v>
      </c>
      <c r="BI7" s="341">
        <f t="shared" si="3"/>
        <v>-0.21049274589695746</v>
      </c>
      <c r="BJ7" s="341">
        <f t="shared" si="3"/>
        <v>-0.21049274589695746</v>
      </c>
      <c r="BK7" s="163">
        <v>842.38</v>
      </c>
      <c r="BL7" s="163">
        <v>2716.88</v>
      </c>
      <c r="BM7" s="163">
        <v>2716.88</v>
      </c>
      <c r="BN7" s="163">
        <v>32852.82</v>
      </c>
      <c r="BO7" s="163">
        <v>105958.32</v>
      </c>
      <c r="BP7" s="163">
        <v>105958.32</v>
      </c>
      <c r="BQ7" s="163" t="s">
        <v>1447</v>
      </c>
      <c r="BR7" s="163" t="s">
        <v>1375</v>
      </c>
    </row>
    <row r="8" spans="1:70">
      <c r="A8" s="265" t="s">
        <v>244</v>
      </c>
      <c r="B8" s="39" t="s">
        <v>626</v>
      </c>
      <c r="C8" s="408" t="s">
        <v>1377</v>
      </c>
      <c r="D8" s="48" t="s">
        <v>1448</v>
      </c>
      <c r="E8" s="39" t="s">
        <v>1449</v>
      </c>
      <c r="F8" s="42" t="s">
        <v>249</v>
      </c>
      <c r="G8" s="46" t="s">
        <v>1450</v>
      </c>
      <c r="H8" s="46" t="s">
        <v>1451</v>
      </c>
      <c r="I8" s="46">
        <v>3</v>
      </c>
      <c r="J8" s="42" t="s">
        <v>138</v>
      </c>
      <c r="K8" s="42" t="s">
        <v>138</v>
      </c>
      <c r="L8" s="42" t="s">
        <v>138</v>
      </c>
      <c r="M8" s="42" t="s">
        <v>138</v>
      </c>
      <c r="N8" s="42" t="s">
        <v>138</v>
      </c>
      <c r="O8" s="42" t="s">
        <v>141</v>
      </c>
      <c r="P8" s="57">
        <v>24</v>
      </c>
      <c r="Q8" s="57" t="s">
        <v>1097</v>
      </c>
      <c r="R8" s="42"/>
      <c r="S8" s="42" t="s">
        <v>1452</v>
      </c>
      <c r="T8" s="44" t="s">
        <v>1453</v>
      </c>
      <c r="U8" s="140" t="s">
        <v>141</v>
      </c>
      <c r="V8" s="46" t="s">
        <v>1454</v>
      </c>
      <c r="W8" s="139" t="s">
        <v>1455</v>
      </c>
      <c r="X8" s="42" t="s">
        <v>139</v>
      </c>
      <c r="Y8" s="42" t="s">
        <v>138</v>
      </c>
      <c r="Z8" s="42" t="s">
        <v>138</v>
      </c>
      <c r="AA8" s="42" t="s">
        <v>139</v>
      </c>
      <c r="AB8" s="42" t="s">
        <v>138</v>
      </c>
      <c r="AC8" s="42" t="s">
        <v>138</v>
      </c>
      <c r="AD8" s="42" t="s">
        <v>141</v>
      </c>
      <c r="AE8" s="41" t="s">
        <v>1448</v>
      </c>
      <c r="AF8" s="42" t="s">
        <v>1456</v>
      </c>
      <c r="AG8" s="42" t="s">
        <v>141</v>
      </c>
      <c r="AH8" s="46" t="s">
        <v>1448</v>
      </c>
      <c r="AI8" s="42" t="s">
        <v>1457</v>
      </c>
      <c r="AJ8" s="42" t="s">
        <v>141</v>
      </c>
      <c r="AK8" s="46" t="s">
        <v>1458</v>
      </c>
      <c r="AL8" s="57" t="s">
        <v>138</v>
      </c>
      <c r="AM8" s="57" t="s">
        <v>138</v>
      </c>
      <c r="AN8" s="166">
        <v>2580</v>
      </c>
      <c r="AO8" s="166">
        <v>2580</v>
      </c>
      <c r="AP8" s="166">
        <v>2580</v>
      </c>
      <c r="AQ8" s="166">
        <v>82560</v>
      </c>
      <c r="AR8" s="166">
        <v>82560</v>
      </c>
      <c r="AS8" s="166">
        <v>82560</v>
      </c>
      <c r="AT8" s="42">
        <v>11</v>
      </c>
      <c r="AU8" s="42">
        <v>11</v>
      </c>
      <c r="AV8" s="42">
        <v>11</v>
      </c>
      <c r="AW8" s="42" t="s">
        <v>141</v>
      </c>
      <c r="AX8" s="57" t="s">
        <v>138</v>
      </c>
      <c r="AY8" s="57" t="s">
        <v>138</v>
      </c>
      <c r="AZ8" s="57" t="s">
        <v>1459</v>
      </c>
      <c r="BA8" s="99">
        <v>56871</v>
      </c>
      <c r="BB8" s="42" t="s">
        <v>138</v>
      </c>
      <c r="BC8" s="42" t="s">
        <v>138</v>
      </c>
      <c r="BD8" s="57" t="s">
        <v>138</v>
      </c>
      <c r="BE8" s="54">
        <v>0.96</v>
      </c>
      <c r="BF8" s="223" t="s">
        <v>1460</v>
      </c>
      <c r="BG8" s="160" t="s">
        <v>138</v>
      </c>
      <c r="BH8" s="411">
        <f t="shared" si="3"/>
        <v>-0.37437386843693421</v>
      </c>
      <c r="BI8" s="411">
        <f t="shared" si="3"/>
        <v>-0.37437386843693421</v>
      </c>
      <c r="BJ8" s="411">
        <f t="shared" si="3"/>
        <v>-0.37437386843693421</v>
      </c>
      <c r="BK8" s="163">
        <v>1292</v>
      </c>
      <c r="BL8" s="163">
        <v>1292</v>
      </c>
      <c r="BM8" s="163">
        <v>1292</v>
      </c>
      <c r="BN8" s="163">
        <v>46512</v>
      </c>
      <c r="BO8" s="163">
        <v>46512</v>
      </c>
      <c r="BP8" s="163">
        <v>46512</v>
      </c>
      <c r="BQ8" s="163" t="s">
        <v>1461</v>
      </c>
      <c r="BR8" s="163" t="s">
        <v>1075</v>
      </c>
    </row>
    <row r="9" spans="1:70">
      <c r="A9" s="391"/>
      <c r="B9" s="391"/>
      <c r="C9" s="391"/>
      <c r="D9" s="391"/>
      <c r="E9" s="391"/>
      <c r="F9" s="391"/>
      <c r="G9" s="391"/>
      <c r="H9" s="391"/>
      <c r="I9" s="391"/>
      <c r="J9" s="391"/>
      <c r="K9" s="391"/>
      <c r="L9" s="391"/>
      <c r="M9" s="391"/>
      <c r="N9" s="391"/>
      <c r="O9" s="391"/>
      <c r="P9" s="391"/>
      <c r="Q9" s="391"/>
      <c r="R9" s="391"/>
      <c r="S9" s="391"/>
      <c r="T9" s="391"/>
      <c r="U9" s="391"/>
      <c r="V9" s="391"/>
      <c r="W9" s="391"/>
      <c r="X9" s="391"/>
      <c r="Y9" s="391"/>
      <c r="Z9" s="391"/>
      <c r="AA9" s="391"/>
      <c r="AB9" s="391"/>
      <c r="AC9" s="391"/>
      <c r="AD9" s="391"/>
      <c r="AE9" s="391"/>
      <c r="AF9" s="391"/>
      <c r="AG9" s="391"/>
      <c r="AH9" s="391"/>
      <c r="AI9" s="391"/>
      <c r="AJ9" s="391"/>
      <c r="AK9" s="391"/>
      <c r="AL9" s="391"/>
      <c r="AM9" s="391"/>
      <c r="AN9" s="391"/>
      <c r="AO9" s="391"/>
      <c r="AP9" s="391"/>
      <c r="AQ9" s="391"/>
      <c r="AR9" s="391"/>
      <c r="AS9" s="391"/>
      <c r="AT9" s="391"/>
      <c r="AU9" s="391"/>
      <c r="AV9" s="391"/>
      <c r="AW9" s="391"/>
      <c r="AX9" s="391"/>
      <c r="AY9" s="391"/>
      <c r="AZ9" s="391"/>
      <c r="BA9" s="391"/>
      <c r="BB9" s="391"/>
      <c r="BC9" s="391"/>
      <c r="BD9" s="391"/>
      <c r="BE9" s="391"/>
      <c r="BF9" s="391"/>
      <c r="BG9" s="391"/>
      <c r="BH9" s="412"/>
      <c r="BI9" s="412"/>
      <c r="BJ9" s="412"/>
      <c r="BK9" s="391"/>
      <c r="BL9" s="391"/>
      <c r="BM9" s="391"/>
      <c r="BN9" s="391"/>
      <c r="BO9" s="391"/>
      <c r="BP9" s="391"/>
    </row>
    <row r="10" spans="1:70">
      <c r="A10" s="391"/>
      <c r="B10" s="391"/>
      <c r="C10" s="391"/>
      <c r="D10" s="391"/>
      <c r="E10" s="391"/>
      <c r="F10" s="391"/>
      <c r="G10" s="391"/>
      <c r="H10" s="391"/>
      <c r="I10" s="391"/>
      <c r="J10" s="391"/>
      <c r="K10" s="391"/>
      <c r="L10" s="391"/>
      <c r="M10" s="391"/>
      <c r="N10" s="391"/>
      <c r="O10" s="391"/>
      <c r="P10" s="391"/>
      <c r="Q10" s="391"/>
      <c r="R10" s="391"/>
      <c r="S10" s="391"/>
      <c r="T10" s="391"/>
      <c r="U10" s="391"/>
      <c r="V10" s="391"/>
      <c r="W10" s="391"/>
      <c r="X10" s="391"/>
      <c r="Y10" s="391"/>
      <c r="Z10" s="391"/>
      <c r="AA10" s="391"/>
      <c r="AB10" s="391"/>
      <c r="AC10" s="391"/>
      <c r="AD10" s="391"/>
      <c r="AE10" s="391"/>
      <c r="AF10" s="391"/>
      <c r="AG10" s="391"/>
      <c r="AH10" s="391"/>
      <c r="AI10" s="391"/>
      <c r="AJ10" s="391"/>
      <c r="AK10" s="391"/>
      <c r="AL10" s="391"/>
      <c r="AM10" s="391"/>
      <c r="AN10" s="391"/>
      <c r="AO10" s="391"/>
      <c r="AP10" s="391"/>
      <c r="AQ10" s="391"/>
      <c r="AR10" s="391"/>
      <c r="AS10" s="391"/>
      <c r="AT10" s="391"/>
      <c r="AU10" s="391"/>
      <c r="AV10" s="391"/>
      <c r="AW10" s="391"/>
      <c r="AX10" s="391"/>
      <c r="AY10" s="391"/>
      <c r="AZ10" s="391"/>
      <c r="BA10" s="391"/>
      <c r="BB10" s="391"/>
      <c r="BC10" s="391"/>
      <c r="BD10" s="391"/>
      <c r="BE10" s="391"/>
      <c r="BF10" s="391"/>
      <c r="BG10" s="391"/>
      <c r="BH10" s="390"/>
      <c r="BI10" s="390"/>
      <c r="BJ10" s="390"/>
      <c r="BK10" s="391"/>
      <c r="BL10" s="391"/>
      <c r="BM10" s="391"/>
      <c r="BN10" s="391"/>
      <c r="BO10" s="391"/>
      <c r="BP10" s="391"/>
    </row>
    <row r="11" spans="1:70">
      <c r="A11" s="391"/>
      <c r="B11" s="391"/>
      <c r="C11" s="391"/>
      <c r="D11" s="391"/>
      <c r="E11" s="391"/>
      <c r="F11" s="391"/>
      <c r="G11" s="391"/>
      <c r="H11" s="391"/>
      <c r="I11" s="391"/>
      <c r="J11" s="391"/>
      <c r="K11" s="391"/>
      <c r="L11" s="391"/>
      <c r="M11" s="391"/>
      <c r="N11" s="391"/>
      <c r="O11" s="391"/>
      <c r="P11" s="391"/>
      <c r="Q11" s="391"/>
      <c r="R11" s="391"/>
      <c r="S11" s="391"/>
      <c r="T11" s="391"/>
      <c r="U11" s="391"/>
      <c r="V11" s="391"/>
      <c r="W11" s="391"/>
      <c r="X11" s="391"/>
      <c r="Y11" s="391"/>
      <c r="Z11" s="391"/>
      <c r="AA11" s="391"/>
      <c r="AB11" s="391"/>
      <c r="AC11" s="391"/>
      <c r="AD11" s="391"/>
      <c r="AE11" s="391"/>
      <c r="AF11" s="391"/>
      <c r="AG11" s="391"/>
      <c r="AH11" s="391"/>
      <c r="AI11" s="391"/>
      <c r="AJ11" s="391"/>
      <c r="AK11" s="391"/>
      <c r="AL11" s="391"/>
      <c r="AM11" s="391"/>
      <c r="AN11" s="391"/>
      <c r="AO11" s="391"/>
      <c r="AP11" s="391"/>
      <c r="AQ11" s="391"/>
      <c r="AR11" s="391"/>
      <c r="AS11" s="391"/>
      <c r="AT11" s="391"/>
      <c r="AU11" s="391"/>
      <c r="AV11" s="391"/>
      <c r="AW11" s="391"/>
      <c r="AX11" s="391"/>
      <c r="AY11" s="391"/>
      <c r="AZ11" s="391"/>
      <c r="BA11" s="391"/>
      <c r="BB11" s="391"/>
      <c r="BC11" s="391"/>
      <c r="BD11" s="391"/>
      <c r="BE11" s="391"/>
      <c r="BF11" s="391"/>
      <c r="BG11" s="391"/>
      <c r="BH11" s="390"/>
      <c r="BI11" s="390"/>
      <c r="BJ11" s="390"/>
      <c r="BK11" s="391"/>
      <c r="BL11" s="391"/>
      <c r="BM11" s="391"/>
      <c r="BN11" s="391"/>
      <c r="BO11" s="391"/>
      <c r="BP11" s="391"/>
    </row>
    <row r="12" spans="1:70">
      <c r="A12" s="391"/>
      <c r="B12" s="391"/>
      <c r="C12" s="391"/>
      <c r="D12" s="391"/>
      <c r="E12" s="391"/>
      <c r="F12" s="391"/>
      <c r="G12" s="391"/>
      <c r="H12" s="391"/>
      <c r="I12" s="391"/>
      <c r="J12" s="391"/>
      <c r="K12" s="391"/>
      <c r="L12" s="391"/>
      <c r="M12" s="391"/>
      <c r="N12" s="391"/>
      <c r="O12" s="391"/>
      <c r="P12" s="391"/>
      <c r="Q12" s="391"/>
      <c r="R12" s="391"/>
      <c r="S12" s="391"/>
      <c r="T12" s="391"/>
      <c r="U12" s="391"/>
      <c r="V12" s="391"/>
      <c r="W12" s="391"/>
      <c r="X12" s="391"/>
      <c r="Y12" s="391"/>
      <c r="Z12" s="391"/>
      <c r="AA12" s="391"/>
      <c r="AB12" s="391"/>
      <c r="AC12" s="391"/>
      <c r="AD12" s="391"/>
      <c r="AE12" s="391"/>
      <c r="AF12" s="391"/>
      <c r="AG12" s="391"/>
      <c r="AH12" s="391"/>
      <c r="AI12" s="391"/>
      <c r="AJ12" s="391"/>
      <c r="AK12" s="391"/>
      <c r="AL12" s="391"/>
      <c r="AM12" s="391"/>
      <c r="AN12" s="391"/>
      <c r="AO12" s="391"/>
      <c r="AP12" s="391"/>
      <c r="AQ12" s="391"/>
      <c r="AR12" s="391"/>
      <c r="AS12" s="391"/>
      <c r="AT12" s="391"/>
      <c r="AU12" s="391"/>
      <c r="AV12" s="391"/>
      <c r="AW12" s="391"/>
      <c r="AX12" s="391"/>
      <c r="AY12" s="391"/>
      <c r="AZ12" s="391"/>
      <c r="BA12" s="391"/>
      <c r="BB12" s="391"/>
      <c r="BC12" s="391"/>
      <c r="BD12" s="391"/>
      <c r="BE12" s="391"/>
      <c r="BF12" s="391"/>
      <c r="BG12" s="391"/>
      <c r="BH12" s="390"/>
      <c r="BI12" s="390"/>
      <c r="BJ12" s="390"/>
      <c r="BK12" s="391"/>
      <c r="BL12" s="391"/>
      <c r="BM12" s="391"/>
      <c r="BN12" s="391"/>
      <c r="BO12" s="391"/>
      <c r="BP12" s="391"/>
    </row>
    <row r="13" spans="1:70">
      <c r="A13" s="391"/>
      <c r="B13" s="391"/>
      <c r="C13" s="391"/>
      <c r="D13" s="391"/>
      <c r="E13" s="391"/>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1"/>
      <c r="AU13" s="391"/>
      <c r="AV13" s="391"/>
      <c r="AW13" s="391"/>
      <c r="AX13" s="391"/>
      <c r="AY13" s="391"/>
      <c r="AZ13" s="391"/>
      <c r="BA13" s="391"/>
      <c r="BB13" s="391"/>
      <c r="BC13" s="391"/>
      <c r="BD13" s="391"/>
      <c r="BE13" s="391"/>
      <c r="BF13" s="391"/>
      <c r="BG13" s="391"/>
      <c r="BH13" s="390"/>
      <c r="BI13" s="390"/>
      <c r="BJ13" s="390"/>
      <c r="BK13" s="391"/>
      <c r="BL13" s="391"/>
      <c r="BM13" s="391"/>
      <c r="BN13" s="391"/>
      <c r="BO13" s="391"/>
      <c r="BP13" s="391"/>
    </row>
    <row r="14" spans="1:70">
      <c r="A14" s="391"/>
      <c r="B14" s="391"/>
      <c r="C14" s="391"/>
      <c r="D14" s="391"/>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0"/>
      <c r="BI14" s="390"/>
      <c r="BJ14" s="390"/>
      <c r="BK14" s="391"/>
      <c r="BL14" s="391"/>
      <c r="BM14" s="391"/>
      <c r="BN14" s="391"/>
      <c r="BO14" s="391"/>
      <c r="BP14" s="391"/>
    </row>
    <row r="15" spans="1:70">
      <c r="A15" s="391"/>
      <c r="B15" s="391"/>
      <c r="C15" s="391"/>
      <c r="D15" s="391"/>
      <c r="E15" s="391"/>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1"/>
    </row>
    <row r="16" spans="1:70">
      <c r="A16" s="391"/>
      <c r="B16" s="391"/>
      <c r="C16" s="391"/>
      <c r="D16" s="391"/>
      <c r="E16" s="391"/>
      <c r="F16" s="391"/>
      <c r="G16" s="391"/>
      <c r="H16" s="391"/>
      <c r="I16" s="391"/>
      <c r="J16" s="391"/>
      <c r="K16" s="391"/>
      <c r="L16" s="391"/>
      <c r="M16" s="391"/>
      <c r="N16" s="391"/>
      <c r="O16" s="391"/>
      <c r="P16" s="391"/>
      <c r="Q16" s="391"/>
      <c r="R16" s="391"/>
      <c r="S16" s="391"/>
      <c r="T16" s="391"/>
      <c r="U16" s="391"/>
      <c r="V16" s="391"/>
      <c r="W16" s="391"/>
      <c r="X16" s="391"/>
      <c r="Y16" s="391"/>
      <c r="Z16" s="391"/>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91"/>
      <c r="BC16" s="391"/>
      <c r="BD16" s="391"/>
      <c r="BE16" s="391"/>
      <c r="BF16" s="391"/>
      <c r="BG16" s="391"/>
      <c r="BH16" s="391"/>
      <c r="BI16" s="391"/>
      <c r="BJ16" s="391"/>
      <c r="BK16" s="391"/>
      <c r="BL16" s="391"/>
      <c r="BM16" s="391"/>
      <c r="BN16" s="391"/>
      <c r="BO16" s="391"/>
      <c r="BP16" s="391"/>
    </row>
    <row r="17" spans="1:68">
      <c r="A17" s="391"/>
      <c r="B17" s="391"/>
      <c r="C17" s="391"/>
      <c r="D17" s="391"/>
      <c r="E17" s="391"/>
      <c r="F17" s="391"/>
      <c r="G17" s="391"/>
      <c r="H17" s="391"/>
      <c r="I17" s="391"/>
      <c r="J17" s="391"/>
      <c r="K17" s="391"/>
      <c r="L17" s="391"/>
      <c r="M17" s="391"/>
      <c r="N17" s="391"/>
      <c r="O17" s="391"/>
      <c r="P17" s="391"/>
      <c r="Q17" s="391"/>
      <c r="R17" s="391"/>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391"/>
      <c r="BE17" s="391"/>
      <c r="BF17" s="391"/>
      <c r="BG17" s="391"/>
      <c r="BH17" s="391"/>
      <c r="BI17" s="391"/>
      <c r="BJ17" s="391"/>
      <c r="BK17" s="391"/>
      <c r="BL17" s="391"/>
      <c r="BM17" s="391"/>
      <c r="BN17" s="391"/>
      <c r="BO17" s="391"/>
      <c r="BP17" s="391"/>
    </row>
    <row r="18" spans="1:68">
      <c r="A18" s="391"/>
      <c r="B18" s="391"/>
      <c r="C18" s="391"/>
      <c r="D18" s="391"/>
      <c r="E18" s="391"/>
      <c r="F18" s="391"/>
      <c r="G18" s="391"/>
      <c r="H18" s="391"/>
      <c r="I18" s="391"/>
      <c r="J18" s="391"/>
      <c r="K18" s="391"/>
      <c r="L18" s="391"/>
      <c r="M18" s="391"/>
      <c r="N18" s="391"/>
      <c r="O18" s="391"/>
      <c r="P18" s="391"/>
      <c r="Q18" s="391"/>
      <c r="R18" s="391"/>
      <c r="S18" s="391"/>
      <c r="T18" s="391"/>
      <c r="U18" s="391"/>
      <c r="V18" s="391"/>
      <c r="W18" s="391"/>
      <c r="X18" s="391"/>
      <c r="Y18" s="391"/>
      <c r="Z18" s="391"/>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1"/>
      <c r="BK18" s="391"/>
      <c r="BL18" s="391"/>
      <c r="BM18" s="391"/>
      <c r="BN18" s="391"/>
      <c r="BO18" s="391"/>
      <c r="BP18" s="391"/>
    </row>
    <row r="19" spans="1:68">
      <c r="A19" s="391"/>
      <c r="B19" s="391"/>
      <c r="C19" s="391"/>
      <c r="D19" s="391"/>
      <c r="E19" s="391"/>
      <c r="F19" s="391"/>
      <c r="G19" s="391"/>
      <c r="H19" s="391"/>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1"/>
      <c r="AG19" s="391"/>
      <c r="AH19" s="391"/>
      <c r="AI19" s="391"/>
      <c r="AJ19" s="391"/>
      <c r="AK19" s="391"/>
      <c r="AL19" s="391"/>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1"/>
      <c r="BK19" s="391"/>
      <c r="BL19" s="391"/>
      <c r="BM19" s="391"/>
      <c r="BN19" s="391"/>
      <c r="BO19" s="391"/>
      <c r="BP19" s="391"/>
    </row>
    <row r="20" spans="1:68">
      <c r="A20" s="391"/>
      <c r="B20" s="391"/>
      <c r="C20" s="391"/>
      <c r="D20" s="391"/>
      <c r="E20" s="391"/>
      <c r="F20" s="391"/>
      <c r="G20" s="391"/>
      <c r="H20" s="391"/>
      <c r="I20" s="391"/>
      <c r="J20" s="391"/>
      <c r="K20" s="391"/>
      <c r="L20" s="391"/>
      <c r="M20" s="391"/>
      <c r="N20" s="391"/>
      <c r="O20" s="391"/>
      <c r="P20" s="391"/>
      <c r="Q20" s="391"/>
      <c r="R20" s="391"/>
      <c r="S20" s="391"/>
      <c r="T20" s="391"/>
      <c r="U20" s="391"/>
      <c r="V20" s="391"/>
      <c r="W20" s="391"/>
      <c r="X20" s="391"/>
      <c r="Y20" s="391"/>
      <c r="Z20" s="391"/>
      <c r="AA20" s="391"/>
      <c r="AB20" s="391"/>
      <c r="AC20" s="391"/>
      <c r="AD20" s="391"/>
      <c r="AE20" s="391"/>
      <c r="AF20" s="391"/>
      <c r="AG20" s="391"/>
      <c r="AH20" s="391"/>
      <c r="AI20" s="391"/>
      <c r="AJ20" s="391"/>
      <c r="AK20" s="391"/>
      <c r="AL20" s="391"/>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1"/>
      <c r="BK20" s="391"/>
      <c r="BL20" s="391"/>
      <c r="BM20" s="391"/>
      <c r="BN20" s="391"/>
      <c r="BO20" s="391"/>
      <c r="BP20" s="391"/>
    </row>
    <row r="21" spans="1:68">
      <c r="A21" s="391"/>
      <c r="B21" s="391"/>
      <c r="C21" s="391"/>
      <c r="D21" s="391"/>
      <c r="E21" s="391"/>
      <c r="F21" s="391"/>
      <c r="G21" s="391"/>
      <c r="H21" s="391"/>
      <c r="I21" s="391"/>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c r="AG21" s="391"/>
      <c r="AH21" s="391"/>
      <c r="AI21" s="391"/>
      <c r="AJ21" s="391"/>
      <c r="AK21" s="391"/>
      <c r="AL21" s="391"/>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1"/>
      <c r="BK21" s="391"/>
      <c r="BL21" s="391"/>
      <c r="BM21" s="391"/>
      <c r="BN21" s="391"/>
      <c r="BO21" s="391"/>
      <c r="BP21" s="391"/>
    </row>
    <row r="22" spans="1:68">
      <c r="A22" s="391"/>
      <c r="B22" s="391"/>
      <c r="C22" s="391"/>
      <c r="D22" s="391"/>
      <c r="E22" s="391"/>
      <c r="F22" s="391"/>
      <c r="G22" s="391"/>
      <c r="H22" s="391"/>
      <c r="I22" s="391"/>
      <c r="J22" s="391"/>
      <c r="K22" s="391"/>
      <c r="L22" s="391"/>
      <c r="M22" s="391"/>
      <c r="N22" s="391"/>
      <c r="O22" s="391"/>
      <c r="P22" s="391"/>
      <c r="Q22" s="391"/>
      <c r="R22" s="391"/>
      <c r="S22" s="391"/>
      <c r="T22" s="391"/>
      <c r="U22" s="391"/>
      <c r="V22" s="391"/>
      <c r="W22" s="391"/>
      <c r="X22" s="391"/>
      <c r="Y22" s="391"/>
      <c r="Z22" s="391"/>
      <c r="AA22" s="391"/>
      <c r="AB22" s="391"/>
      <c r="AC22" s="391"/>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1"/>
      <c r="BK22" s="391"/>
      <c r="BL22" s="391"/>
      <c r="BM22" s="391"/>
      <c r="BN22" s="391"/>
      <c r="BO22" s="391"/>
      <c r="BP22" s="391"/>
    </row>
    <row r="23" spans="1:68">
      <c r="A23" s="391"/>
      <c r="B23" s="391"/>
      <c r="C23" s="391"/>
      <c r="D23" s="391"/>
      <c r="E23" s="391"/>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c r="AF23" s="391"/>
      <c r="AG23" s="391"/>
      <c r="AH23" s="391"/>
      <c r="AI23" s="391"/>
      <c r="AJ23" s="391"/>
      <c r="AK23" s="391"/>
      <c r="AL23" s="391"/>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1"/>
      <c r="BK23" s="391"/>
      <c r="BL23" s="391"/>
      <c r="BM23" s="391"/>
      <c r="BN23" s="391"/>
      <c r="BO23" s="391"/>
      <c r="BP23" s="391"/>
    </row>
    <row r="24" spans="1:68">
      <c r="A24" s="391"/>
      <c r="B24" s="391"/>
      <c r="C24" s="391"/>
      <c r="D24" s="391"/>
      <c r="E24" s="391"/>
      <c r="F24" s="391"/>
      <c r="G24" s="391"/>
      <c r="H24" s="391"/>
      <c r="I24" s="391"/>
      <c r="J24" s="391"/>
      <c r="K24" s="391"/>
      <c r="L24" s="391"/>
      <c r="M24" s="391"/>
      <c r="N24" s="391"/>
      <c r="O24" s="391"/>
      <c r="P24" s="391"/>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1"/>
      <c r="BK24" s="391"/>
      <c r="BL24" s="391"/>
      <c r="BM24" s="391"/>
      <c r="BN24" s="391"/>
      <c r="BO24" s="391"/>
      <c r="BP24" s="391"/>
    </row>
    <row r="25" spans="1:68">
      <c r="A25" s="391"/>
      <c r="B25" s="391"/>
      <c r="C25" s="391"/>
      <c r="D25" s="391"/>
      <c r="E25" s="391"/>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c r="AG25" s="391"/>
      <c r="AH25" s="391"/>
      <c r="AI25" s="391"/>
      <c r="AJ25" s="391"/>
      <c r="AK25" s="391"/>
      <c r="AL25" s="391"/>
      <c r="AM25" s="391"/>
      <c r="AN25" s="391"/>
      <c r="AO25" s="391"/>
      <c r="AP25" s="391"/>
      <c r="AQ25" s="391"/>
      <c r="AR25" s="391"/>
      <c r="AS25" s="391"/>
      <c r="AT25" s="391"/>
      <c r="AU25" s="391"/>
      <c r="AV25" s="391"/>
      <c r="AW25" s="391"/>
      <c r="AX25" s="391"/>
      <c r="AY25" s="391"/>
      <c r="AZ25" s="391"/>
      <c r="BA25" s="391"/>
      <c r="BB25" s="391"/>
      <c r="BC25" s="391"/>
      <c r="BD25" s="391"/>
      <c r="BE25" s="391"/>
      <c r="BF25" s="391"/>
      <c r="BG25" s="391"/>
      <c r="BH25" s="391"/>
      <c r="BI25" s="391"/>
      <c r="BJ25" s="391"/>
      <c r="BK25" s="391"/>
      <c r="BL25" s="391"/>
      <c r="BM25" s="391"/>
      <c r="BN25" s="391"/>
      <c r="BO25" s="391"/>
      <c r="BP25" s="391"/>
    </row>
    <row r="26" spans="1:68">
      <c r="A26" s="391"/>
      <c r="B26" s="391"/>
      <c r="C26" s="391"/>
      <c r="D26" s="391"/>
      <c r="E26" s="391"/>
      <c r="F26" s="391"/>
      <c r="G26" s="391"/>
      <c r="H26" s="391"/>
      <c r="I26" s="391"/>
      <c r="J26" s="391"/>
      <c r="K26" s="391"/>
      <c r="L26" s="391"/>
      <c r="M26" s="391"/>
      <c r="N26" s="391"/>
      <c r="O26" s="391"/>
      <c r="P26" s="391"/>
      <c r="Q26" s="391"/>
      <c r="R26" s="391"/>
      <c r="S26" s="391"/>
      <c r="T26" s="391"/>
      <c r="U26" s="391"/>
      <c r="V26" s="391"/>
      <c r="W26" s="391"/>
      <c r="X26" s="391"/>
      <c r="Y26" s="391"/>
      <c r="Z26" s="391"/>
      <c r="AA26" s="391"/>
      <c r="AB26" s="391"/>
      <c r="AC26" s="391"/>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1"/>
      <c r="BK26" s="391"/>
      <c r="BL26" s="391"/>
      <c r="BM26" s="391"/>
      <c r="BN26" s="391"/>
      <c r="BO26" s="391"/>
      <c r="BP26" s="391"/>
    </row>
    <row r="27" spans="1:68">
      <c r="A27" s="391"/>
      <c r="B27" s="391"/>
      <c r="C27" s="391"/>
      <c r="D27" s="391"/>
      <c r="E27" s="391"/>
      <c r="F27" s="391"/>
      <c r="G27" s="391"/>
      <c r="H27" s="391"/>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1"/>
      <c r="AG27" s="391"/>
      <c r="AH27" s="391"/>
      <c r="AI27" s="391"/>
      <c r="AJ27" s="391"/>
      <c r="AK27" s="391"/>
      <c r="AL27" s="391"/>
      <c r="AM27" s="391"/>
      <c r="AN27" s="391"/>
      <c r="AO27" s="391"/>
      <c r="AP27" s="391"/>
      <c r="AQ27" s="391"/>
      <c r="AR27" s="391"/>
      <c r="AS27" s="391"/>
      <c r="AT27" s="391"/>
      <c r="AU27" s="391"/>
      <c r="AV27" s="391"/>
      <c r="AW27" s="391"/>
      <c r="AX27" s="391"/>
      <c r="AY27" s="391"/>
      <c r="AZ27" s="391"/>
      <c r="BA27" s="391"/>
      <c r="BB27" s="391"/>
      <c r="BC27" s="391"/>
      <c r="BD27" s="391"/>
      <c r="BE27" s="391"/>
      <c r="BF27" s="391"/>
      <c r="BG27" s="391"/>
      <c r="BH27" s="391"/>
      <c r="BI27" s="391"/>
      <c r="BJ27" s="391"/>
      <c r="BK27" s="391"/>
      <c r="BL27" s="391"/>
      <c r="BM27" s="391"/>
      <c r="BN27" s="391"/>
      <c r="BO27" s="391"/>
      <c r="BP27" s="391"/>
    </row>
    <row r="28" spans="1:68">
      <c r="A28" s="391"/>
      <c r="B28" s="391"/>
      <c r="C28" s="391"/>
      <c r="D28" s="391"/>
      <c r="E28" s="391"/>
      <c r="F28" s="391"/>
      <c r="G28" s="391"/>
      <c r="H28" s="391"/>
      <c r="I28" s="391"/>
      <c r="J28" s="391"/>
      <c r="K28" s="391"/>
      <c r="L28" s="391"/>
      <c r="M28" s="391"/>
      <c r="N28" s="391"/>
      <c r="O28" s="391"/>
      <c r="P28" s="391"/>
      <c r="Q28" s="391"/>
      <c r="R28" s="391"/>
      <c r="S28" s="391"/>
      <c r="T28" s="391"/>
      <c r="U28" s="391"/>
      <c r="V28" s="391"/>
      <c r="W28" s="391"/>
      <c r="X28" s="391"/>
      <c r="Y28" s="391"/>
      <c r="Z28" s="391"/>
      <c r="AA28" s="391"/>
      <c r="AB28" s="391"/>
      <c r="AC28" s="391"/>
      <c r="AD28" s="391"/>
      <c r="AE28" s="391"/>
      <c r="AF28" s="391"/>
      <c r="AG28" s="391"/>
      <c r="AH28" s="391"/>
      <c r="AI28" s="391"/>
      <c r="AJ28" s="391"/>
      <c r="AK28" s="391"/>
      <c r="AL28" s="391"/>
      <c r="AM28" s="391"/>
      <c r="AN28" s="391"/>
      <c r="AO28" s="391"/>
      <c r="AP28" s="391"/>
      <c r="AQ28" s="391"/>
      <c r="AR28" s="391"/>
      <c r="AS28" s="391"/>
      <c r="AT28" s="391"/>
      <c r="AU28" s="391"/>
      <c r="AV28" s="391"/>
      <c r="AW28" s="391"/>
      <c r="AX28" s="391"/>
      <c r="AY28" s="391"/>
      <c r="AZ28" s="391"/>
      <c r="BA28" s="391"/>
      <c r="BB28" s="391"/>
      <c r="BC28" s="391"/>
      <c r="BD28" s="391"/>
      <c r="BE28" s="391"/>
      <c r="BF28" s="391"/>
      <c r="BG28" s="391"/>
      <c r="BH28" s="391"/>
      <c r="BI28" s="391"/>
      <c r="BJ28" s="391"/>
      <c r="BK28" s="391"/>
      <c r="BL28" s="391"/>
      <c r="BM28" s="391"/>
      <c r="BN28" s="391"/>
      <c r="BO28" s="391"/>
      <c r="BP28" s="391"/>
    </row>
    <row r="29" spans="1:68">
      <c r="A29" s="391"/>
      <c r="B29" s="391"/>
      <c r="C29" s="391"/>
      <c r="D29" s="391"/>
      <c r="E29" s="391"/>
      <c r="F29" s="391"/>
      <c r="G29" s="391"/>
      <c r="H29" s="391"/>
      <c r="I29" s="391"/>
      <c r="J29" s="391"/>
      <c r="K29" s="391"/>
      <c r="L29" s="391"/>
      <c r="M29" s="391"/>
      <c r="N29" s="391"/>
      <c r="O29" s="391"/>
      <c r="P29" s="391"/>
      <c r="Q29" s="391"/>
      <c r="R29" s="391"/>
      <c r="S29" s="391"/>
      <c r="T29" s="391"/>
      <c r="U29" s="391"/>
      <c r="V29" s="391"/>
      <c r="W29" s="391"/>
      <c r="X29" s="391"/>
      <c r="Y29" s="391"/>
      <c r="Z29" s="391"/>
      <c r="AA29" s="391"/>
      <c r="AB29" s="391"/>
      <c r="AC29" s="391"/>
      <c r="AD29" s="391"/>
      <c r="AE29" s="391"/>
      <c r="AF29" s="391"/>
      <c r="AG29" s="391"/>
      <c r="AH29" s="391"/>
      <c r="AI29" s="391"/>
      <c r="AJ29" s="391"/>
      <c r="AK29" s="391"/>
      <c r="AL29" s="391"/>
      <c r="AM29" s="391"/>
      <c r="AN29" s="391"/>
      <c r="AO29" s="391"/>
      <c r="AP29" s="391"/>
      <c r="AQ29" s="391"/>
      <c r="AR29" s="391"/>
      <c r="AS29" s="391"/>
      <c r="AT29" s="391"/>
      <c r="AU29" s="391"/>
      <c r="AV29" s="391"/>
      <c r="AW29" s="391"/>
      <c r="AX29" s="391"/>
      <c r="AY29" s="391"/>
      <c r="AZ29" s="391"/>
      <c r="BA29" s="391"/>
      <c r="BB29" s="391"/>
      <c r="BC29" s="391"/>
      <c r="BD29" s="391"/>
      <c r="BE29" s="391"/>
      <c r="BF29" s="391"/>
      <c r="BG29" s="391"/>
      <c r="BH29" s="391"/>
      <c r="BI29" s="391"/>
      <c r="BJ29" s="391"/>
      <c r="BK29" s="391"/>
      <c r="BL29" s="391"/>
      <c r="BM29" s="391"/>
      <c r="BN29" s="391"/>
      <c r="BO29" s="391"/>
      <c r="BP29" s="391"/>
    </row>
    <row r="30" spans="1:68">
      <c r="A30" s="391"/>
      <c r="B30" s="391"/>
      <c r="C30" s="391"/>
      <c r="D30" s="391"/>
      <c r="E30" s="391"/>
      <c r="F30" s="391"/>
      <c r="G30" s="391"/>
      <c r="H30" s="391"/>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1"/>
      <c r="AG30" s="391"/>
      <c r="AH30" s="391"/>
      <c r="AI30" s="391"/>
      <c r="AJ30" s="391"/>
      <c r="AK30" s="391"/>
      <c r="AL30" s="391"/>
      <c r="AM30" s="391"/>
      <c r="AN30" s="391"/>
      <c r="AO30" s="391"/>
      <c r="AP30" s="391"/>
      <c r="AQ30" s="391"/>
      <c r="AR30" s="391"/>
      <c r="AS30" s="391"/>
      <c r="AT30" s="391"/>
      <c r="AU30" s="391"/>
      <c r="AV30" s="391"/>
      <c r="AW30" s="391"/>
      <c r="AX30" s="391"/>
      <c r="AY30" s="391"/>
      <c r="AZ30" s="391"/>
      <c r="BA30" s="391"/>
      <c r="BB30" s="391"/>
      <c r="BC30" s="391"/>
      <c r="BD30" s="391"/>
      <c r="BE30" s="391"/>
      <c r="BF30" s="391"/>
      <c r="BG30" s="391"/>
      <c r="BH30" s="391"/>
      <c r="BI30" s="391"/>
      <c r="BJ30" s="391"/>
      <c r="BK30" s="391"/>
      <c r="BL30" s="391"/>
      <c r="BM30" s="391"/>
      <c r="BN30" s="391"/>
      <c r="BO30" s="391"/>
      <c r="BP30" s="391"/>
    </row>
    <row r="31" spans="1:68">
      <c r="A31" s="391"/>
      <c r="B31" s="391"/>
      <c r="C31" s="391"/>
      <c r="D31" s="391"/>
      <c r="E31" s="391"/>
      <c r="F31" s="391"/>
      <c r="G31" s="391"/>
      <c r="H31" s="391"/>
      <c r="I31" s="391"/>
      <c r="J31" s="391"/>
      <c r="K31" s="391"/>
      <c r="L31" s="391"/>
      <c r="M31" s="391"/>
      <c r="N31" s="391"/>
      <c r="O31" s="391"/>
      <c r="P31" s="391"/>
      <c r="Q31" s="391"/>
      <c r="R31" s="391"/>
      <c r="S31" s="391"/>
      <c r="T31" s="391"/>
      <c r="U31" s="391"/>
      <c r="V31" s="391"/>
      <c r="W31" s="391"/>
      <c r="X31" s="391"/>
      <c r="Y31" s="391"/>
      <c r="Z31" s="391"/>
      <c r="AA31" s="391"/>
      <c r="AB31" s="391"/>
      <c r="AC31" s="391"/>
      <c r="AD31" s="391"/>
      <c r="AE31" s="391"/>
      <c r="AF31" s="391"/>
      <c r="AG31" s="391"/>
      <c r="AH31" s="391"/>
      <c r="AI31" s="391"/>
      <c r="AJ31" s="391"/>
      <c r="AK31" s="391"/>
      <c r="AL31" s="391"/>
      <c r="AM31" s="391"/>
      <c r="AN31" s="391"/>
      <c r="AO31" s="391"/>
      <c r="AP31" s="391"/>
      <c r="AQ31" s="391"/>
      <c r="AR31" s="391"/>
      <c r="AS31" s="391"/>
      <c r="AT31" s="391"/>
      <c r="AU31" s="391"/>
      <c r="AV31" s="391"/>
      <c r="AW31" s="391"/>
      <c r="AX31" s="391"/>
      <c r="AY31" s="391"/>
      <c r="AZ31" s="391"/>
      <c r="BA31" s="391"/>
      <c r="BB31" s="391"/>
      <c r="BC31" s="391"/>
      <c r="BD31" s="391"/>
      <c r="BE31" s="391"/>
      <c r="BF31" s="391"/>
      <c r="BG31" s="391"/>
      <c r="BH31" s="391"/>
      <c r="BI31" s="391"/>
      <c r="BJ31" s="391"/>
      <c r="BK31" s="391"/>
      <c r="BL31" s="391"/>
      <c r="BM31" s="391"/>
      <c r="BN31" s="391"/>
      <c r="BO31" s="391"/>
      <c r="BP31" s="391"/>
    </row>
    <row r="32" spans="1:68">
      <c r="A32" s="391"/>
      <c r="B32" s="391"/>
      <c r="C32" s="391"/>
      <c r="D32" s="391"/>
      <c r="E32" s="391"/>
      <c r="F32" s="391"/>
      <c r="G32" s="391"/>
      <c r="H32" s="391"/>
      <c r="I32" s="391"/>
      <c r="J32" s="391"/>
      <c r="K32" s="391"/>
      <c r="L32" s="391"/>
      <c r="M32" s="391"/>
      <c r="N32" s="391"/>
      <c r="O32" s="391"/>
      <c r="P32" s="391"/>
      <c r="Q32" s="391"/>
      <c r="R32" s="391"/>
      <c r="S32" s="391"/>
      <c r="T32" s="391"/>
      <c r="U32" s="391"/>
      <c r="V32" s="391"/>
      <c r="W32" s="391"/>
      <c r="X32" s="391"/>
      <c r="Y32" s="391"/>
      <c r="Z32" s="391"/>
      <c r="AA32" s="391"/>
      <c r="AB32" s="391"/>
      <c r="AC32" s="391"/>
      <c r="AD32" s="391"/>
      <c r="AE32" s="391"/>
      <c r="AF32" s="391"/>
      <c r="AG32" s="391"/>
      <c r="AH32" s="391"/>
      <c r="AI32" s="391"/>
      <c r="AJ32" s="391"/>
      <c r="AK32" s="391"/>
      <c r="AL32" s="391"/>
      <c r="AM32" s="391"/>
      <c r="AN32" s="391"/>
      <c r="AO32" s="391"/>
      <c r="AP32" s="391"/>
      <c r="AQ32" s="391"/>
      <c r="AR32" s="391"/>
      <c r="AS32" s="391"/>
      <c r="AT32" s="391"/>
      <c r="AU32" s="391"/>
      <c r="AV32" s="391"/>
      <c r="AW32" s="391"/>
      <c r="AX32" s="391"/>
      <c r="AY32" s="391"/>
      <c r="AZ32" s="391"/>
      <c r="BA32" s="391"/>
      <c r="BB32" s="391"/>
      <c r="BC32" s="391"/>
      <c r="BD32" s="391"/>
      <c r="BE32" s="391"/>
      <c r="BF32" s="391"/>
      <c r="BG32" s="391"/>
      <c r="BH32" s="391"/>
      <c r="BI32" s="391"/>
      <c r="BJ32" s="391"/>
      <c r="BK32" s="391"/>
      <c r="BL32" s="391"/>
      <c r="BM32" s="391"/>
      <c r="BN32" s="391"/>
      <c r="BO32" s="391"/>
      <c r="BP32" s="391"/>
    </row>
    <row r="33" spans="1:68">
      <c r="A33" s="391"/>
      <c r="B33" s="391"/>
      <c r="C33" s="391"/>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c r="AG33" s="391"/>
      <c r="AH33" s="391"/>
      <c r="AI33" s="391"/>
      <c r="AJ33" s="391"/>
      <c r="AK33" s="391"/>
      <c r="AL33" s="391"/>
      <c r="AM33" s="391"/>
      <c r="AN33" s="391"/>
      <c r="AO33" s="391"/>
      <c r="AP33" s="391"/>
      <c r="AQ33" s="391"/>
      <c r="AR33" s="391"/>
      <c r="AS33" s="391"/>
      <c r="AT33" s="391"/>
      <c r="AU33" s="391"/>
      <c r="AV33" s="391"/>
      <c r="AW33" s="391"/>
      <c r="AX33" s="391"/>
      <c r="AY33" s="391"/>
      <c r="AZ33" s="391"/>
      <c r="BA33" s="391"/>
      <c r="BB33" s="391"/>
      <c r="BC33" s="391"/>
      <c r="BD33" s="391"/>
      <c r="BE33" s="391"/>
      <c r="BF33" s="391"/>
      <c r="BG33" s="391"/>
      <c r="BH33" s="391"/>
      <c r="BI33" s="391"/>
      <c r="BJ33" s="391"/>
      <c r="BK33" s="391"/>
      <c r="BL33" s="391"/>
      <c r="BM33" s="391"/>
      <c r="BN33" s="391"/>
      <c r="BO33" s="391"/>
      <c r="BP33" s="391"/>
    </row>
    <row r="34" spans="1:68">
      <c r="A34" s="391"/>
      <c r="B34" s="391"/>
      <c r="C34" s="391"/>
      <c r="D34" s="391"/>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391"/>
      <c r="BC34" s="391"/>
      <c r="BD34" s="391"/>
      <c r="BE34" s="391"/>
      <c r="BF34" s="391"/>
      <c r="BG34" s="391"/>
      <c r="BH34" s="391"/>
      <c r="BI34" s="391"/>
      <c r="BJ34" s="391"/>
      <c r="BK34" s="391"/>
      <c r="BL34" s="391"/>
      <c r="BM34" s="391"/>
      <c r="BN34" s="391"/>
      <c r="BO34" s="391"/>
      <c r="BP34" s="391"/>
    </row>
    <row r="35" spans="1:68">
      <c r="A35" s="391"/>
      <c r="B35" s="391"/>
      <c r="C35" s="391"/>
      <c r="D35" s="391"/>
      <c r="E35" s="391"/>
      <c r="F35" s="391"/>
      <c r="G35" s="391"/>
      <c r="H35" s="391"/>
      <c r="I35" s="391"/>
      <c r="J35" s="391"/>
      <c r="K35" s="391"/>
      <c r="L35" s="391"/>
      <c r="M35" s="391"/>
      <c r="N35" s="391"/>
      <c r="O35" s="391"/>
      <c r="P35" s="391"/>
      <c r="Q35" s="391"/>
      <c r="R35" s="391"/>
      <c r="S35" s="391"/>
      <c r="T35" s="391"/>
      <c r="U35" s="391"/>
      <c r="V35" s="391"/>
      <c r="W35" s="391"/>
      <c r="X35" s="391"/>
      <c r="Y35" s="391"/>
      <c r="Z35" s="391"/>
      <c r="AA35" s="391"/>
      <c r="AB35" s="391"/>
      <c r="AC35" s="391"/>
      <c r="AD35" s="391"/>
      <c r="AE35" s="391"/>
      <c r="AF35" s="391"/>
      <c r="AG35" s="391"/>
      <c r="AH35" s="391"/>
      <c r="AI35" s="391"/>
      <c r="AJ35" s="391"/>
      <c r="AK35" s="391"/>
      <c r="AL35" s="391"/>
      <c r="AM35" s="391"/>
      <c r="AN35" s="391"/>
      <c r="AO35" s="391"/>
      <c r="AP35" s="391"/>
      <c r="AQ35" s="391"/>
      <c r="AR35" s="391"/>
      <c r="AS35" s="391"/>
      <c r="AT35" s="391"/>
      <c r="AU35" s="391"/>
      <c r="AV35" s="391"/>
      <c r="AW35" s="391"/>
      <c r="AX35" s="391"/>
      <c r="AY35" s="391"/>
      <c r="AZ35" s="391"/>
      <c r="BA35" s="391"/>
      <c r="BB35" s="391"/>
      <c r="BC35" s="391"/>
      <c r="BD35" s="391"/>
      <c r="BE35" s="391"/>
      <c r="BF35" s="391"/>
      <c r="BG35" s="391"/>
      <c r="BH35" s="391"/>
      <c r="BI35" s="391"/>
      <c r="BJ35" s="391"/>
      <c r="BK35" s="391"/>
      <c r="BL35" s="391"/>
      <c r="BM35" s="391"/>
      <c r="BN35" s="391"/>
      <c r="BO35" s="391"/>
      <c r="BP35" s="391"/>
    </row>
    <row r="36" spans="1:68">
      <c r="A36" s="391"/>
      <c r="B36" s="391"/>
      <c r="C36" s="391"/>
      <c r="D36" s="391"/>
      <c r="E36" s="391"/>
      <c r="F36" s="391"/>
      <c r="G36" s="391"/>
      <c r="H36" s="391"/>
      <c r="I36" s="391"/>
      <c r="J36" s="391"/>
      <c r="K36" s="391"/>
      <c r="L36" s="391"/>
      <c r="M36" s="391"/>
      <c r="N36" s="391"/>
      <c r="O36" s="391"/>
      <c r="P36" s="391"/>
      <c r="Q36" s="391"/>
      <c r="R36" s="391"/>
      <c r="S36" s="391"/>
      <c r="T36" s="391"/>
      <c r="U36" s="391"/>
      <c r="V36" s="391"/>
      <c r="W36" s="391"/>
      <c r="X36" s="391"/>
      <c r="Y36" s="391"/>
      <c r="Z36" s="391"/>
      <c r="AA36" s="391"/>
      <c r="AB36" s="391"/>
      <c r="AC36" s="391"/>
      <c r="AD36" s="391"/>
      <c r="AE36" s="391"/>
      <c r="AF36" s="391"/>
      <c r="AG36" s="391"/>
      <c r="AH36" s="391"/>
      <c r="AI36" s="391"/>
      <c r="AJ36" s="391"/>
      <c r="AK36" s="391"/>
      <c r="AL36" s="391"/>
      <c r="AM36" s="391"/>
      <c r="AN36" s="391"/>
      <c r="AO36" s="391"/>
      <c r="AP36" s="391"/>
      <c r="AQ36" s="391"/>
      <c r="AR36" s="391"/>
      <c r="AS36" s="391"/>
      <c r="AT36" s="391"/>
      <c r="AU36" s="391"/>
      <c r="AV36" s="391"/>
      <c r="AW36" s="391"/>
      <c r="AX36" s="391"/>
      <c r="AY36" s="391"/>
      <c r="AZ36" s="391"/>
      <c r="BA36" s="391"/>
      <c r="BB36" s="391"/>
      <c r="BC36" s="391"/>
      <c r="BD36" s="391"/>
      <c r="BE36" s="391"/>
      <c r="BF36" s="391"/>
      <c r="BG36" s="391"/>
      <c r="BH36" s="391"/>
      <c r="BI36" s="391"/>
      <c r="BJ36" s="391"/>
      <c r="BK36" s="391"/>
      <c r="BL36" s="391"/>
      <c r="BM36" s="391"/>
      <c r="BN36" s="391"/>
      <c r="BO36" s="391"/>
      <c r="BP36" s="391"/>
    </row>
    <row r="37" spans="1:68">
      <c r="A37" s="391"/>
      <c r="B37" s="391"/>
      <c r="C37" s="391"/>
      <c r="D37" s="391"/>
      <c r="E37" s="391"/>
      <c r="F37" s="391"/>
      <c r="G37" s="391"/>
      <c r="H37" s="391"/>
      <c r="I37" s="391"/>
      <c r="J37" s="391"/>
      <c r="K37" s="391"/>
      <c r="L37" s="391"/>
      <c r="M37" s="391"/>
      <c r="N37" s="391"/>
      <c r="O37" s="391"/>
      <c r="P37" s="391"/>
      <c r="Q37" s="391"/>
      <c r="R37" s="391"/>
      <c r="S37" s="391"/>
      <c r="T37" s="391"/>
      <c r="U37" s="391"/>
      <c r="V37" s="391"/>
      <c r="W37" s="391"/>
      <c r="X37" s="391"/>
      <c r="Y37" s="391"/>
      <c r="Z37" s="391"/>
      <c r="AA37" s="391"/>
      <c r="AB37" s="391"/>
      <c r="AC37" s="391"/>
      <c r="AD37" s="391"/>
      <c r="AE37" s="391"/>
      <c r="AF37" s="391"/>
      <c r="AG37" s="391"/>
      <c r="AH37" s="391"/>
      <c r="AI37" s="391"/>
      <c r="AJ37" s="391"/>
      <c r="AK37" s="391"/>
      <c r="AL37" s="391"/>
      <c r="AM37" s="391"/>
      <c r="AN37" s="391"/>
      <c r="AO37" s="391"/>
      <c r="AP37" s="391"/>
      <c r="AQ37" s="391"/>
      <c r="AR37" s="391"/>
      <c r="AS37" s="391"/>
      <c r="AT37" s="391"/>
      <c r="AU37" s="391"/>
      <c r="AV37" s="391"/>
      <c r="AW37" s="391"/>
      <c r="AX37" s="391"/>
      <c r="AY37" s="391"/>
      <c r="AZ37" s="391"/>
      <c r="BA37" s="391"/>
      <c r="BB37" s="391"/>
      <c r="BC37" s="391"/>
      <c r="BD37" s="391"/>
      <c r="BE37" s="391"/>
      <c r="BF37" s="391"/>
      <c r="BG37" s="391"/>
      <c r="BH37" s="391"/>
      <c r="BI37" s="391"/>
      <c r="BJ37" s="391"/>
      <c r="BK37" s="391"/>
      <c r="BL37" s="391"/>
      <c r="BM37" s="391"/>
      <c r="BN37" s="391"/>
      <c r="BO37" s="391"/>
      <c r="BP37" s="391"/>
    </row>
    <row r="38" spans="1:68">
      <c r="A38" s="391"/>
      <c r="B38" s="391"/>
      <c r="C38" s="391"/>
      <c r="D38" s="391"/>
      <c r="E38" s="391"/>
      <c r="F38" s="391"/>
      <c r="G38" s="391"/>
      <c r="H38" s="391"/>
      <c r="I38" s="391"/>
      <c r="J38" s="391"/>
      <c r="K38" s="391"/>
      <c r="L38" s="391"/>
      <c r="M38" s="391"/>
      <c r="N38" s="391"/>
      <c r="O38" s="391"/>
      <c r="P38" s="391"/>
      <c r="Q38" s="391"/>
      <c r="R38" s="391"/>
      <c r="S38" s="391"/>
      <c r="T38" s="391"/>
      <c r="U38" s="391"/>
      <c r="V38" s="391"/>
      <c r="W38" s="391"/>
      <c r="X38" s="391"/>
      <c r="Y38" s="391"/>
      <c r="Z38" s="391"/>
      <c r="AA38" s="391"/>
      <c r="AB38" s="391"/>
      <c r="AC38" s="391"/>
      <c r="AD38" s="391"/>
      <c r="AE38" s="391"/>
      <c r="AF38" s="391"/>
      <c r="AG38" s="391"/>
      <c r="AH38" s="391"/>
      <c r="AI38" s="391"/>
      <c r="AJ38" s="391"/>
      <c r="AK38" s="391"/>
      <c r="AL38" s="391"/>
      <c r="AM38" s="391"/>
      <c r="AN38" s="391"/>
      <c r="AO38" s="391"/>
      <c r="AP38" s="391"/>
      <c r="AQ38" s="391"/>
      <c r="AR38" s="391"/>
      <c r="AS38" s="391"/>
      <c r="AT38" s="391"/>
      <c r="AU38" s="391"/>
      <c r="AV38" s="391"/>
      <c r="AW38" s="391"/>
      <c r="AX38" s="391"/>
      <c r="AY38" s="391"/>
      <c r="AZ38" s="391"/>
      <c r="BA38" s="391"/>
      <c r="BB38" s="391"/>
      <c r="BC38" s="391"/>
      <c r="BD38" s="391"/>
      <c r="BE38" s="391"/>
      <c r="BF38" s="391"/>
      <c r="BG38" s="391"/>
      <c r="BH38" s="391"/>
      <c r="BI38" s="391"/>
      <c r="BJ38" s="391"/>
      <c r="BK38" s="391"/>
      <c r="BL38" s="391"/>
      <c r="BM38" s="391"/>
      <c r="BN38" s="391"/>
      <c r="BO38" s="391"/>
      <c r="BP38" s="391"/>
    </row>
    <row r="39" spans="1:68">
      <c r="A39" s="391"/>
      <c r="B39" s="391"/>
      <c r="C39" s="391"/>
      <c r="D39" s="391"/>
      <c r="E39" s="391"/>
      <c r="F39" s="391"/>
      <c r="G39" s="391"/>
      <c r="H39" s="391"/>
      <c r="I39" s="391"/>
      <c r="J39" s="391"/>
      <c r="K39" s="391"/>
      <c r="L39" s="391"/>
      <c r="M39" s="391"/>
      <c r="N39" s="391"/>
      <c r="O39" s="391"/>
      <c r="P39" s="391"/>
      <c r="Q39" s="391"/>
      <c r="R39" s="391"/>
      <c r="S39" s="391"/>
      <c r="T39" s="391"/>
      <c r="U39" s="391"/>
      <c r="V39" s="391"/>
      <c r="W39" s="391"/>
      <c r="X39" s="391"/>
      <c r="Y39" s="391"/>
      <c r="Z39" s="391"/>
      <c r="AA39" s="391"/>
      <c r="AB39" s="391"/>
      <c r="AC39" s="391"/>
      <c r="AD39" s="391"/>
      <c r="AE39" s="391"/>
      <c r="AF39" s="391"/>
      <c r="AG39" s="391"/>
      <c r="AH39" s="391"/>
      <c r="AI39" s="391"/>
      <c r="AJ39" s="391"/>
      <c r="AK39" s="391"/>
      <c r="AL39" s="391"/>
      <c r="AM39" s="391"/>
      <c r="AN39" s="391"/>
      <c r="AO39" s="391"/>
      <c r="AP39" s="391"/>
      <c r="AQ39" s="391"/>
      <c r="AR39" s="391"/>
      <c r="AS39" s="391"/>
      <c r="AT39" s="391"/>
      <c r="AU39" s="391"/>
      <c r="AV39" s="391"/>
      <c r="AW39" s="391"/>
      <c r="AX39" s="391"/>
      <c r="AY39" s="391"/>
      <c r="AZ39" s="391"/>
      <c r="BA39" s="391"/>
      <c r="BB39" s="391"/>
      <c r="BC39" s="391"/>
      <c r="BD39" s="391"/>
      <c r="BE39" s="391"/>
      <c r="BF39" s="391"/>
      <c r="BG39" s="391"/>
      <c r="BH39" s="391"/>
      <c r="BI39" s="391"/>
      <c r="BJ39" s="391"/>
      <c r="BK39" s="391"/>
      <c r="BL39" s="391"/>
      <c r="BM39" s="391"/>
      <c r="BN39" s="391"/>
      <c r="BO39" s="391"/>
      <c r="BP39" s="391"/>
    </row>
    <row r="40" spans="1:68">
      <c r="A40" s="391"/>
      <c r="B40" s="391"/>
      <c r="C40" s="391"/>
      <c r="D40" s="391"/>
      <c r="E40" s="391"/>
      <c r="F40" s="391"/>
      <c r="G40" s="391"/>
      <c r="H40" s="391"/>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1"/>
      <c r="AI40" s="391"/>
      <c r="AJ40" s="391"/>
      <c r="AK40" s="391"/>
      <c r="AL40" s="391"/>
      <c r="AM40" s="391"/>
      <c r="AN40" s="391"/>
      <c r="AO40" s="391"/>
      <c r="AP40" s="391"/>
      <c r="AQ40" s="391"/>
      <c r="AR40" s="391"/>
      <c r="AS40" s="391"/>
      <c r="AT40" s="391"/>
      <c r="AU40" s="391"/>
      <c r="AV40" s="391"/>
      <c r="AW40" s="391"/>
      <c r="AX40" s="391"/>
      <c r="AY40" s="391"/>
      <c r="AZ40" s="391"/>
      <c r="BA40" s="391"/>
      <c r="BB40" s="391"/>
      <c r="BC40" s="391"/>
      <c r="BD40" s="391"/>
      <c r="BE40" s="391"/>
      <c r="BF40" s="391"/>
      <c r="BG40" s="391"/>
      <c r="BH40" s="391"/>
      <c r="BI40" s="391"/>
      <c r="BJ40" s="391"/>
      <c r="BK40" s="391"/>
      <c r="BL40" s="391"/>
      <c r="BM40" s="391"/>
      <c r="BN40" s="391"/>
      <c r="BO40" s="391"/>
      <c r="BP40" s="391"/>
    </row>
    <row r="41" spans="1:68">
      <c r="A41" s="391"/>
      <c r="B41" s="391"/>
      <c r="C41" s="391"/>
      <c r="D41" s="391"/>
      <c r="E41" s="391"/>
      <c r="F41" s="391"/>
      <c r="G41" s="391"/>
      <c r="H41" s="391"/>
      <c r="I41" s="391"/>
      <c r="J41" s="391"/>
      <c r="K41" s="391"/>
      <c r="L41" s="391"/>
      <c r="M41" s="391"/>
      <c r="N41" s="391"/>
      <c r="O41" s="391"/>
      <c r="P41" s="391"/>
      <c r="Q41" s="391"/>
      <c r="R41" s="391"/>
      <c r="S41" s="391"/>
      <c r="T41" s="391"/>
      <c r="U41" s="391"/>
      <c r="V41" s="391"/>
      <c r="W41" s="391"/>
      <c r="X41" s="391"/>
      <c r="Y41" s="391"/>
      <c r="Z41" s="391"/>
      <c r="AA41" s="391"/>
      <c r="AB41" s="391"/>
      <c r="AC41" s="391"/>
      <c r="AD41" s="391"/>
      <c r="AE41" s="391"/>
      <c r="AF41" s="391"/>
      <c r="AG41" s="391"/>
      <c r="AH41" s="391"/>
      <c r="AI41" s="391"/>
      <c r="AJ41" s="391"/>
      <c r="AK41" s="391"/>
      <c r="AL41" s="391"/>
      <c r="AM41" s="391"/>
      <c r="AN41" s="391"/>
      <c r="AO41" s="391"/>
      <c r="AP41" s="391"/>
      <c r="AQ41" s="391"/>
      <c r="AR41" s="391"/>
      <c r="AS41" s="391"/>
      <c r="AT41" s="391"/>
      <c r="AU41" s="391"/>
      <c r="AV41" s="391"/>
      <c r="AW41" s="391"/>
      <c r="AX41" s="391"/>
      <c r="AY41" s="391"/>
      <c r="AZ41" s="391"/>
      <c r="BA41" s="391"/>
      <c r="BB41" s="391"/>
      <c r="BC41" s="391"/>
      <c r="BD41" s="391"/>
      <c r="BE41" s="391"/>
      <c r="BF41" s="391"/>
      <c r="BG41" s="391"/>
      <c r="BH41" s="391"/>
      <c r="BI41" s="391"/>
      <c r="BJ41" s="391"/>
      <c r="BK41" s="391"/>
      <c r="BL41" s="391"/>
      <c r="BM41" s="391"/>
      <c r="BN41" s="391"/>
      <c r="BO41" s="391"/>
      <c r="BP41" s="391"/>
    </row>
    <row r="42" spans="1:68">
      <c r="A42" s="391"/>
      <c r="B42" s="391"/>
      <c r="C42" s="391"/>
      <c r="D42" s="391"/>
      <c r="E42" s="391"/>
      <c r="F42" s="391"/>
      <c r="G42" s="391"/>
      <c r="H42" s="391"/>
      <c r="I42" s="391"/>
      <c r="J42" s="391"/>
      <c r="K42" s="391"/>
      <c r="L42" s="391"/>
      <c r="M42" s="391"/>
      <c r="N42" s="391"/>
      <c r="O42" s="391"/>
      <c r="P42" s="391"/>
      <c r="Q42" s="391"/>
      <c r="R42" s="391"/>
      <c r="S42" s="391"/>
      <c r="T42" s="391"/>
      <c r="U42" s="391"/>
      <c r="V42" s="391"/>
      <c r="W42" s="391"/>
      <c r="X42" s="391"/>
      <c r="Y42" s="391"/>
      <c r="Z42" s="391"/>
      <c r="AA42" s="391"/>
      <c r="AB42" s="391"/>
      <c r="AC42" s="391"/>
      <c r="AD42" s="391"/>
      <c r="AE42" s="391"/>
      <c r="AF42" s="391"/>
      <c r="AG42" s="391"/>
      <c r="AH42" s="391"/>
      <c r="AI42" s="391"/>
      <c r="AJ42" s="391"/>
      <c r="AK42" s="391"/>
      <c r="AL42" s="391"/>
      <c r="AM42" s="391"/>
      <c r="AN42" s="391"/>
      <c r="AO42" s="391"/>
      <c r="AP42" s="391"/>
      <c r="AQ42" s="391"/>
      <c r="AR42" s="391"/>
      <c r="AS42" s="391"/>
      <c r="AT42" s="391"/>
      <c r="AU42" s="391"/>
      <c r="AV42" s="391"/>
      <c r="AW42" s="391"/>
      <c r="AX42" s="391"/>
      <c r="AY42" s="391"/>
      <c r="AZ42" s="391"/>
      <c r="BA42" s="391"/>
      <c r="BB42" s="391"/>
      <c r="BC42" s="391"/>
      <c r="BD42" s="391"/>
      <c r="BE42" s="391"/>
      <c r="BF42" s="391"/>
      <c r="BG42" s="391"/>
      <c r="BH42" s="391"/>
      <c r="BI42" s="391"/>
      <c r="BJ42" s="391"/>
      <c r="BK42" s="391"/>
      <c r="BL42" s="391"/>
      <c r="BM42" s="391"/>
      <c r="BN42" s="391"/>
      <c r="BO42" s="391"/>
      <c r="BP42" s="391"/>
    </row>
    <row r="43" spans="1:68">
      <c r="A43" s="391"/>
      <c r="B43" s="391"/>
      <c r="C43" s="391"/>
      <c r="D43" s="391"/>
      <c r="E43" s="391"/>
      <c r="F43" s="391"/>
      <c r="G43" s="391"/>
      <c r="H43" s="391"/>
      <c r="I43" s="391"/>
      <c r="J43" s="391"/>
      <c r="K43" s="391"/>
      <c r="L43" s="391"/>
      <c r="M43" s="391"/>
      <c r="N43" s="391"/>
      <c r="O43" s="391"/>
      <c r="P43" s="391"/>
      <c r="Q43" s="391"/>
      <c r="R43" s="391"/>
      <c r="S43" s="391"/>
      <c r="T43" s="391"/>
      <c r="U43" s="391"/>
      <c r="V43" s="391"/>
      <c r="W43" s="391"/>
      <c r="X43" s="391"/>
      <c r="Y43" s="391"/>
      <c r="Z43" s="391"/>
      <c r="AA43" s="391"/>
      <c r="AB43" s="391"/>
      <c r="AC43" s="391"/>
      <c r="AD43" s="391"/>
      <c r="AE43" s="391"/>
      <c r="AF43" s="391"/>
      <c r="AG43" s="391"/>
      <c r="AH43" s="391"/>
      <c r="AI43" s="391"/>
      <c r="AJ43" s="391"/>
      <c r="AK43" s="391"/>
      <c r="AL43" s="391"/>
      <c r="AM43" s="391"/>
      <c r="AN43" s="391"/>
      <c r="AO43" s="391"/>
      <c r="AP43" s="391"/>
      <c r="AQ43" s="391"/>
      <c r="AR43" s="391"/>
      <c r="AS43" s="391"/>
      <c r="AT43" s="391"/>
      <c r="AU43" s="391"/>
      <c r="AV43" s="391"/>
      <c r="AW43" s="391"/>
      <c r="AX43" s="391"/>
      <c r="AY43" s="391"/>
      <c r="AZ43" s="391"/>
      <c r="BA43" s="391"/>
      <c r="BB43" s="391"/>
      <c r="BC43" s="391"/>
      <c r="BD43" s="391"/>
      <c r="BE43" s="391"/>
      <c r="BF43" s="391"/>
      <c r="BG43" s="391"/>
      <c r="BH43" s="391"/>
      <c r="BI43" s="391"/>
      <c r="BJ43" s="391"/>
      <c r="BK43" s="391"/>
      <c r="BL43" s="391"/>
      <c r="BM43" s="391"/>
      <c r="BN43" s="391"/>
      <c r="BO43" s="391"/>
      <c r="BP43" s="391"/>
    </row>
    <row r="44" spans="1:68">
      <c r="A44" s="391"/>
      <c r="B44" s="391"/>
      <c r="C44" s="391"/>
      <c r="D44" s="391"/>
      <c r="E44" s="391"/>
      <c r="F44" s="391"/>
      <c r="G44" s="391"/>
      <c r="H44" s="391"/>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1"/>
      <c r="AI44" s="391"/>
      <c r="AJ44" s="391"/>
      <c r="AK44" s="391"/>
      <c r="AL44" s="391"/>
      <c r="AM44" s="391"/>
      <c r="AN44" s="391"/>
      <c r="AO44" s="391"/>
      <c r="AP44" s="391"/>
      <c r="AQ44" s="391"/>
      <c r="AR44" s="391"/>
      <c r="AS44" s="391"/>
      <c r="AT44" s="391"/>
      <c r="AU44" s="391"/>
      <c r="AV44" s="391"/>
      <c r="AW44" s="391"/>
      <c r="AX44" s="391"/>
      <c r="AY44" s="391"/>
      <c r="AZ44" s="391"/>
      <c r="BA44" s="391"/>
      <c r="BB44" s="391"/>
      <c r="BC44" s="391"/>
      <c r="BD44" s="391"/>
      <c r="BE44" s="391"/>
      <c r="BF44" s="391"/>
      <c r="BG44" s="391"/>
      <c r="BH44" s="391"/>
      <c r="BI44" s="391"/>
      <c r="BJ44" s="391"/>
      <c r="BK44" s="391"/>
      <c r="BL44" s="391"/>
      <c r="BM44" s="391"/>
      <c r="BN44" s="391"/>
      <c r="BO44" s="391"/>
      <c r="BP44" s="391"/>
    </row>
    <row r="45" spans="1:68">
      <c r="A45" s="391"/>
      <c r="B45" s="391"/>
      <c r="C45" s="391"/>
      <c r="D45" s="391"/>
      <c r="E45" s="391"/>
      <c r="F45" s="391"/>
      <c r="G45" s="391"/>
      <c r="H45" s="391"/>
      <c r="I45" s="391"/>
      <c r="J45" s="391"/>
      <c r="K45" s="391"/>
      <c r="L45" s="391"/>
      <c r="M45" s="391"/>
      <c r="N45" s="391"/>
      <c r="O45" s="391"/>
      <c r="P45" s="391"/>
      <c r="Q45" s="391"/>
      <c r="R45" s="391"/>
      <c r="S45" s="391"/>
      <c r="T45" s="391"/>
      <c r="U45" s="391"/>
      <c r="V45" s="391"/>
      <c r="W45" s="391"/>
      <c r="X45" s="391"/>
      <c r="Y45" s="391"/>
      <c r="Z45" s="391"/>
      <c r="AA45" s="391"/>
      <c r="AB45" s="391"/>
      <c r="AC45" s="391"/>
      <c r="AD45" s="391"/>
      <c r="AE45" s="391"/>
      <c r="AF45" s="391"/>
      <c r="AG45" s="391"/>
      <c r="AH45" s="391"/>
      <c r="AI45" s="391"/>
      <c r="AJ45" s="391"/>
      <c r="AK45" s="391"/>
      <c r="AL45" s="391"/>
      <c r="AM45" s="391"/>
      <c r="AN45" s="391"/>
      <c r="AO45" s="391"/>
      <c r="AP45" s="391"/>
      <c r="AQ45" s="391"/>
      <c r="AR45" s="391"/>
      <c r="AS45" s="391"/>
      <c r="AT45" s="391"/>
      <c r="AU45" s="391"/>
      <c r="AV45" s="391"/>
      <c r="AW45" s="391"/>
      <c r="AX45" s="391"/>
      <c r="AY45" s="391"/>
      <c r="AZ45" s="391"/>
      <c r="BA45" s="391"/>
      <c r="BB45" s="391"/>
      <c r="BC45" s="391"/>
      <c r="BD45" s="391"/>
      <c r="BE45" s="391"/>
      <c r="BF45" s="391"/>
      <c r="BG45" s="391"/>
      <c r="BH45" s="391"/>
      <c r="BI45" s="391"/>
      <c r="BJ45" s="391"/>
      <c r="BK45" s="391"/>
      <c r="BL45" s="391"/>
      <c r="BM45" s="391"/>
      <c r="BN45" s="391"/>
      <c r="BO45" s="391"/>
      <c r="BP45" s="391"/>
    </row>
    <row r="46" spans="1:68">
      <c r="A46" s="391"/>
      <c r="B46" s="391"/>
      <c r="C46" s="391"/>
      <c r="D46" s="391"/>
      <c r="E46" s="391"/>
      <c r="F46" s="391"/>
      <c r="G46" s="391"/>
      <c r="H46" s="391"/>
      <c r="I46" s="391"/>
      <c r="J46" s="391"/>
      <c r="K46" s="391"/>
      <c r="L46" s="391"/>
      <c r="M46" s="391"/>
      <c r="N46" s="391"/>
      <c r="O46" s="391"/>
      <c r="P46" s="391"/>
      <c r="Q46" s="391"/>
      <c r="R46" s="391"/>
      <c r="S46" s="391"/>
      <c r="T46" s="391"/>
      <c r="U46" s="391"/>
      <c r="V46" s="391"/>
      <c r="W46" s="391"/>
      <c r="X46" s="391"/>
      <c r="Y46" s="391"/>
      <c r="Z46" s="391"/>
      <c r="AA46" s="391"/>
      <c r="AB46" s="391"/>
      <c r="AC46" s="391"/>
      <c r="AD46" s="391"/>
      <c r="AE46" s="391"/>
      <c r="AF46" s="391"/>
      <c r="AG46" s="391"/>
      <c r="AH46" s="391"/>
      <c r="AI46" s="391"/>
      <c r="AJ46" s="391"/>
      <c r="AK46" s="391"/>
      <c r="AL46" s="391"/>
      <c r="AM46" s="391"/>
      <c r="AN46" s="391"/>
      <c r="AO46" s="391"/>
      <c r="AP46" s="391"/>
      <c r="AQ46" s="391"/>
      <c r="AR46" s="391"/>
      <c r="AS46" s="391"/>
      <c r="AT46" s="391"/>
      <c r="AU46" s="391"/>
      <c r="AV46" s="391"/>
      <c r="AW46" s="391"/>
      <c r="AX46" s="391"/>
      <c r="AY46" s="391"/>
      <c r="AZ46" s="391"/>
      <c r="BA46" s="391"/>
      <c r="BB46" s="391"/>
      <c r="BC46" s="391"/>
      <c r="BD46" s="391"/>
      <c r="BE46" s="391"/>
      <c r="BF46" s="391"/>
      <c r="BG46" s="391"/>
      <c r="BH46" s="391"/>
      <c r="BI46" s="391"/>
      <c r="BJ46" s="391"/>
      <c r="BK46" s="391"/>
      <c r="BL46" s="391"/>
      <c r="BM46" s="391"/>
      <c r="BN46" s="391"/>
      <c r="BO46" s="391"/>
      <c r="BP46" s="391"/>
    </row>
    <row r="47" spans="1:68">
      <c r="A47" s="391"/>
      <c r="B47" s="391"/>
      <c r="C47" s="391"/>
      <c r="D47" s="391"/>
      <c r="E47" s="391"/>
      <c r="F47" s="391"/>
      <c r="G47" s="391"/>
      <c r="H47" s="391"/>
      <c r="I47" s="391"/>
      <c r="J47" s="391"/>
      <c r="K47" s="391"/>
      <c r="L47" s="391"/>
      <c r="M47" s="391"/>
      <c r="N47" s="391"/>
      <c r="O47" s="391"/>
      <c r="P47" s="391"/>
      <c r="Q47" s="391"/>
      <c r="R47" s="391"/>
      <c r="S47" s="391"/>
      <c r="T47" s="391"/>
      <c r="U47" s="391"/>
      <c r="V47" s="391"/>
      <c r="W47" s="391"/>
      <c r="X47" s="391"/>
      <c r="Y47" s="391"/>
      <c r="Z47" s="391"/>
      <c r="AA47" s="391"/>
      <c r="AB47" s="391"/>
      <c r="AC47" s="391"/>
      <c r="AD47" s="391"/>
      <c r="AE47" s="391"/>
      <c r="AF47" s="391"/>
      <c r="AG47" s="391"/>
      <c r="AH47" s="391"/>
      <c r="AI47" s="391"/>
      <c r="AJ47" s="391"/>
      <c r="AK47" s="391"/>
      <c r="AL47" s="391"/>
      <c r="AM47" s="391"/>
      <c r="AN47" s="391"/>
      <c r="AO47" s="391"/>
      <c r="AP47" s="391"/>
      <c r="AQ47" s="391"/>
      <c r="AR47" s="391"/>
      <c r="AS47" s="391"/>
      <c r="AT47" s="391"/>
      <c r="AU47" s="391"/>
      <c r="AV47" s="391"/>
      <c r="AW47" s="391"/>
      <c r="AX47" s="391"/>
      <c r="AY47" s="391"/>
      <c r="AZ47" s="391"/>
      <c r="BA47" s="391"/>
      <c r="BB47" s="391"/>
      <c r="BC47" s="391"/>
      <c r="BD47" s="391"/>
      <c r="BE47" s="391"/>
      <c r="BF47" s="391"/>
      <c r="BG47" s="391"/>
      <c r="BH47" s="391"/>
      <c r="BI47" s="391"/>
      <c r="BJ47" s="391"/>
      <c r="BK47" s="391"/>
      <c r="BL47" s="391"/>
      <c r="BM47" s="391"/>
      <c r="BN47" s="391"/>
      <c r="BO47" s="391"/>
      <c r="BP47" s="391"/>
    </row>
    <row r="48" spans="1:68">
      <c r="A48" s="391"/>
      <c r="B48" s="391"/>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row>
    <row r="49" spans="1:68">
      <c r="A49" s="391"/>
      <c r="B49" s="391"/>
      <c r="C49" s="391"/>
      <c r="D49" s="391"/>
      <c r="E49" s="391"/>
      <c r="F49" s="391"/>
      <c r="G49" s="391"/>
      <c r="H49" s="391"/>
      <c r="I49" s="391"/>
      <c r="J49" s="391"/>
      <c r="K49" s="391"/>
      <c r="L49" s="391"/>
      <c r="M49" s="391"/>
      <c r="N49" s="391"/>
      <c r="O49" s="391"/>
      <c r="P49" s="391"/>
      <c r="Q49" s="391"/>
      <c r="R49" s="391"/>
      <c r="S49" s="391"/>
      <c r="T49" s="391"/>
      <c r="U49" s="391"/>
      <c r="V49" s="391"/>
      <c r="W49" s="391"/>
      <c r="X49" s="391"/>
      <c r="Y49" s="391"/>
      <c r="Z49" s="391"/>
      <c r="AA49" s="391"/>
      <c r="AB49" s="391"/>
      <c r="AC49" s="391"/>
      <c r="AD49" s="391"/>
      <c r="AE49" s="391"/>
      <c r="AF49" s="391"/>
      <c r="AG49" s="391"/>
      <c r="AH49" s="391"/>
      <c r="AI49" s="391"/>
      <c r="AJ49" s="391"/>
      <c r="AK49" s="391"/>
      <c r="AL49" s="391"/>
      <c r="AM49" s="391"/>
      <c r="AN49" s="391"/>
      <c r="AO49" s="391"/>
      <c r="AP49" s="391"/>
      <c r="AQ49" s="391"/>
      <c r="AR49" s="391"/>
      <c r="AS49" s="391"/>
      <c r="AT49" s="391"/>
      <c r="AU49" s="391"/>
      <c r="AV49" s="391"/>
      <c r="AW49" s="391"/>
      <c r="AX49" s="391"/>
      <c r="AY49" s="391"/>
      <c r="AZ49" s="391"/>
      <c r="BA49" s="391"/>
      <c r="BB49" s="391"/>
      <c r="BC49" s="391"/>
      <c r="BD49" s="391"/>
      <c r="BE49" s="391"/>
      <c r="BF49" s="391"/>
      <c r="BG49" s="391"/>
      <c r="BH49" s="391"/>
      <c r="BI49" s="391"/>
      <c r="BJ49" s="391"/>
      <c r="BK49" s="391"/>
      <c r="BL49" s="391"/>
      <c r="BM49" s="391"/>
      <c r="BN49" s="391"/>
      <c r="BO49" s="391"/>
      <c r="BP49" s="391"/>
    </row>
    <row r="50" spans="1:68">
      <c r="A50" s="391"/>
      <c r="B50" s="391"/>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c r="AA50" s="391"/>
      <c r="AB50" s="391"/>
      <c r="AC50" s="391"/>
      <c r="AD50" s="391"/>
      <c r="AE50" s="391"/>
      <c r="AF50" s="391"/>
      <c r="AG50" s="391"/>
      <c r="AH50" s="391"/>
      <c r="AI50" s="391"/>
      <c r="AJ50" s="391"/>
      <c r="AK50" s="391"/>
      <c r="AL50" s="391"/>
      <c r="AM50" s="391"/>
      <c r="AN50" s="391"/>
      <c r="AO50" s="391"/>
      <c r="AP50" s="391"/>
      <c r="AQ50" s="391"/>
      <c r="AR50" s="391"/>
      <c r="AS50" s="391"/>
      <c r="AT50" s="391"/>
      <c r="AU50" s="391"/>
      <c r="AV50" s="391"/>
      <c r="AW50" s="391"/>
      <c r="AX50" s="391"/>
      <c r="AY50" s="391"/>
      <c r="AZ50" s="391"/>
      <c r="BA50" s="391"/>
      <c r="BB50" s="391"/>
      <c r="BC50" s="391"/>
      <c r="BD50" s="391"/>
      <c r="BE50" s="391"/>
      <c r="BF50" s="391"/>
      <c r="BG50" s="391"/>
      <c r="BH50" s="391"/>
      <c r="BI50" s="391"/>
      <c r="BJ50" s="391"/>
      <c r="BK50" s="391"/>
      <c r="BL50" s="391"/>
      <c r="BM50" s="391"/>
      <c r="BN50" s="391"/>
      <c r="BO50" s="391"/>
      <c r="BP50" s="391"/>
    </row>
    <row r="51" spans="1:68">
      <c r="A51" s="391"/>
      <c r="B51" s="391"/>
      <c r="C51" s="391"/>
      <c r="D51" s="391"/>
      <c r="E51" s="391"/>
      <c r="F51" s="391"/>
      <c r="G51" s="391"/>
      <c r="H51" s="391"/>
      <c r="I51" s="391"/>
      <c r="J51" s="391"/>
      <c r="K51" s="391"/>
      <c r="L51" s="391"/>
      <c r="M51" s="391"/>
      <c r="N51" s="391"/>
      <c r="O51" s="391"/>
      <c r="P51" s="391"/>
      <c r="Q51" s="391"/>
      <c r="R51" s="391"/>
      <c r="S51" s="391"/>
      <c r="T51" s="391"/>
      <c r="U51" s="391"/>
      <c r="V51" s="391"/>
      <c r="W51" s="391"/>
      <c r="X51" s="391"/>
      <c r="Y51" s="391"/>
      <c r="Z51" s="391"/>
      <c r="AA51" s="391"/>
      <c r="AB51" s="391"/>
      <c r="AC51" s="391"/>
      <c r="AD51" s="391"/>
      <c r="AE51" s="391"/>
      <c r="AF51" s="391"/>
      <c r="AG51" s="391"/>
      <c r="AH51" s="391"/>
      <c r="AI51" s="391"/>
      <c r="AJ51" s="391"/>
      <c r="AK51" s="391"/>
      <c r="AL51" s="391"/>
      <c r="AM51" s="391"/>
      <c r="AN51" s="391"/>
      <c r="AO51" s="391"/>
      <c r="AP51" s="391"/>
      <c r="AQ51" s="391"/>
      <c r="AR51" s="391"/>
      <c r="AS51" s="391"/>
      <c r="AT51" s="391"/>
      <c r="AU51" s="391"/>
      <c r="AV51" s="391"/>
      <c r="AW51" s="391"/>
      <c r="AX51" s="391"/>
      <c r="AY51" s="391"/>
      <c r="AZ51" s="391"/>
      <c r="BA51" s="391"/>
      <c r="BB51" s="391"/>
      <c r="BC51" s="391"/>
      <c r="BD51" s="391"/>
      <c r="BE51" s="391"/>
      <c r="BF51" s="391"/>
      <c r="BG51" s="391"/>
      <c r="BH51" s="391"/>
      <c r="BI51" s="391"/>
      <c r="BJ51" s="391"/>
      <c r="BK51" s="391"/>
      <c r="BL51" s="391"/>
      <c r="BM51" s="391"/>
      <c r="BN51" s="391"/>
      <c r="BO51" s="391"/>
      <c r="BP51" s="391"/>
    </row>
    <row r="52" spans="1:68">
      <c r="A52" s="391"/>
      <c r="B52" s="391"/>
      <c r="C52" s="391"/>
      <c r="D52" s="391"/>
      <c r="E52" s="391"/>
      <c r="F52" s="391"/>
      <c r="G52" s="391"/>
      <c r="H52" s="391"/>
      <c r="I52" s="391"/>
      <c r="J52" s="391"/>
      <c r="K52" s="391"/>
      <c r="L52" s="391"/>
      <c r="M52" s="391"/>
      <c r="N52" s="391"/>
      <c r="O52" s="391"/>
      <c r="P52" s="391"/>
      <c r="Q52" s="391"/>
      <c r="R52" s="391"/>
      <c r="S52" s="391"/>
      <c r="T52" s="391"/>
      <c r="U52" s="391"/>
      <c r="V52" s="391"/>
      <c r="W52" s="391"/>
      <c r="X52" s="391"/>
      <c r="Y52" s="391"/>
      <c r="Z52" s="391"/>
      <c r="AA52" s="391"/>
      <c r="AB52" s="391"/>
      <c r="AC52" s="391"/>
      <c r="AD52" s="391"/>
      <c r="AE52" s="391"/>
      <c r="AF52" s="391"/>
      <c r="AG52" s="391"/>
      <c r="AH52" s="391"/>
      <c r="AI52" s="391"/>
      <c r="AJ52" s="391"/>
      <c r="AK52" s="391"/>
      <c r="AL52" s="391"/>
      <c r="AM52" s="391"/>
      <c r="AN52" s="391"/>
      <c r="AO52" s="391"/>
      <c r="AP52" s="391"/>
      <c r="AQ52" s="391"/>
      <c r="AR52" s="391"/>
      <c r="AS52" s="391"/>
      <c r="AT52" s="391"/>
      <c r="AU52" s="391"/>
      <c r="AV52" s="391"/>
      <c r="AW52" s="391"/>
      <c r="AX52" s="391"/>
      <c r="AY52" s="391"/>
      <c r="AZ52" s="391"/>
      <c r="BA52" s="391"/>
      <c r="BB52" s="391"/>
      <c r="BC52" s="391"/>
      <c r="BD52" s="391"/>
      <c r="BE52" s="391"/>
      <c r="BF52" s="391"/>
      <c r="BG52" s="391"/>
      <c r="BH52" s="391"/>
      <c r="BI52" s="391"/>
      <c r="BJ52" s="391"/>
      <c r="BK52" s="391"/>
      <c r="BL52" s="391"/>
      <c r="BM52" s="391"/>
      <c r="BN52" s="391"/>
      <c r="BO52" s="391"/>
      <c r="BP52" s="391"/>
    </row>
    <row r="53" spans="1:68">
      <c r="A53" s="391"/>
      <c r="B53" s="391"/>
      <c r="C53" s="391"/>
      <c r="D53" s="391"/>
      <c r="E53" s="391"/>
      <c r="F53" s="391"/>
      <c r="G53" s="391"/>
      <c r="H53" s="391"/>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c r="AF53" s="391"/>
      <c r="AG53" s="391"/>
      <c r="AH53" s="391"/>
      <c r="AI53" s="391"/>
      <c r="AJ53" s="391"/>
      <c r="AK53" s="391"/>
      <c r="AL53" s="391"/>
      <c r="AM53" s="391"/>
      <c r="AN53" s="391"/>
      <c r="AO53" s="391"/>
      <c r="AP53" s="391"/>
      <c r="AQ53" s="391"/>
      <c r="AR53" s="391"/>
      <c r="AS53" s="391"/>
      <c r="AT53" s="391"/>
      <c r="AU53" s="391"/>
      <c r="AV53" s="391"/>
      <c r="AW53" s="391"/>
      <c r="AX53" s="391"/>
      <c r="AY53" s="391"/>
      <c r="AZ53" s="391"/>
      <c r="BA53" s="391"/>
      <c r="BB53" s="391"/>
      <c r="BC53" s="391"/>
      <c r="BD53" s="391"/>
      <c r="BE53" s="391"/>
      <c r="BF53" s="391"/>
      <c r="BG53" s="391"/>
      <c r="BH53" s="391"/>
      <c r="BI53" s="391"/>
      <c r="BJ53" s="391"/>
      <c r="BK53" s="391"/>
      <c r="BL53" s="391"/>
      <c r="BM53" s="391"/>
      <c r="BN53" s="391"/>
      <c r="BO53" s="391"/>
      <c r="BP53" s="391"/>
    </row>
    <row r="54" spans="1:68">
      <c r="A54" s="39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c r="AA54" s="391"/>
      <c r="AB54" s="391"/>
      <c r="AC54" s="391"/>
      <c r="AD54" s="391"/>
      <c r="AE54" s="391"/>
      <c r="AF54" s="391"/>
      <c r="AG54" s="391"/>
      <c r="AH54" s="391"/>
      <c r="AI54" s="391"/>
      <c r="AJ54" s="391"/>
      <c r="AK54" s="391"/>
      <c r="AL54" s="391"/>
      <c r="AM54" s="391"/>
      <c r="AN54" s="391"/>
      <c r="AO54" s="391"/>
      <c r="AP54" s="391"/>
      <c r="AQ54" s="391"/>
      <c r="AR54" s="391"/>
      <c r="AS54" s="391"/>
      <c r="AT54" s="391"/>
      <c r="AU54" s="391"/>
      <c r="AV54" s="391"/>
      <c r="AW54" s="391"/>
      <c r="AX54" s="391"/>
      <c r="AY54" s="391"/>
      <c r="AZ54" s="391"/>
      <c r="BA54" s="391"/>
      <c r="BB54" s="391"/>
      <c r="BC54" s="391"/>
      <c r="BD54" s="391"/>
      <c r="BE54" s="391"/>
      <c r="BF54" s="391"/>
      <c r="BG54" s="391"/>
      <c r="BH54" s="391"/>
      <c r="BI54" s="391"/>
      <c r="BJ54" s="391"/>
      <c r="BK54" s="391"/>
      <c r="BL54" s="391"/>
      <c r="BM54" s="391"/>
      <c r="BN54" s="391"/>
      <c r="BO54" s="391"/>
      <c r="BP54" s="391"/>
    </row>
    <row r="55" spans="1:68">
      <c r="A55" s="391"/>
      <c r="B55" s="391"/>
      <c r="C55" s="391"/>
      <c r="D55" s="391"/>
      <c r="E55" s="391"/>
      <c r="F55" s="391"/>
      <c r="G55" s="391"/>
      <c r="H55" s="391"/>
      <c r="I55" s="391"/>
      <c r="J55" s="391"/>
      <c r="K55" s="391"/>
      <c r="L55" s="391"/>
      <c r="M55" s="391"/>
      <c r="N55" s="391"/>
      <c r="O55" s="391"/>
      <c r="P55" s="391"/>
      <c r="Q55" s="391"/>
      <c r="R55" s="391"/>
      <c r="S55" s="391"/>
      <c r="T55" s="391"/>
      <c r="U55" s="391"/>
      <c r="V55" s="391"/>
      <c r="W55" s="391"/>
      <c r="X55" s="391"/>
      <c r="Y55" s="391"/>
      <c r="Z55" s="391"/>
      <c r="AA55" s="391"/>
      <c r="AB55" s="391"/>
      <c r="AC55" s="391"/>
      <c r="AD55" s="391"/>
      <c r="AE55" s="391"/>
      <c r="AF55" s="391"/>
      <c r="AG55" s="391"/>
      <c r="AH55" s="391"/>
      <c r="AI55" s="391"/>
      <c r="AJ55" s="391"/>
      <c r="AK55" s="391"/>
      <c r="AL55" s="391"/>
      <c r="AM55" s="391"/>
      <c r="AN55" s="391"/>
      <c r="AO55" s="391"/>
      <c r="AP55" s="391"/>
      <c r="AQ55" s="391"/>
      <c r="AR55" s="391"/>
      <c r="AS55" s="391"/>
      <c r="AT55" s="391"/>
      <c r="AU55" s="391"/>
      <c r="AV55" s="391"/>
      <c r="AW55" s="391"/>
      <c r="AX55" s="391"/>
      <c r="AY55" s="391"/>
      <c r="AZ55" s="391"/>
      <c r="BA55" s="391"/>
      <c r="BB55" s="391"/>
      <c r="BC55" s="391"/>
      <c r="BD55" s="391"/>
      <c r="BE55" s="391"/>
      <c r="BF55" s="391"/>
      <c r="BG55" s="391"/>
      <c r="BH55" s="391"/>
      <c r="BI55" s="391"/>
      <c r="BJ55" s="391"/>
      <c r="BK55" s="391"/>
      <c r="BL55" s="391"/>
      <c r="BM55" s="391"/>
      <c r="BN55" s="391"/>
      <c r="BO55" s="391"/>
      <c r="BP55" s="391"/>
    </row>
    <row r="56" spans="1:68">
      <c r="A56" s="391"/>
      <c r="B56" s="391"/>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c r="AA56" s="391"/>
      <c r="AB56" s="391"/>
      <c r="AC56" s="391"/>
      <c r="AD56" s="391"/>
      <c r="AE56" s="391"/>
      <c r="AF56" s="391"/>
      <c r="AG56" s="391"/>
      <c r="AH56" s="391"/>
      <c r="AI56" s="391"/>
      <c r="AJ56" s="391"/>
      <c r="AK56" s="391"/>
      <c r="AL56" s="391"/>
      <c r="AM56" s="391"/>
      <c r="AN56" s="391"/>
      <c r="AO56" s="391"/>
      <c r="AP56" s="391"/>
      <c r="AQ56" s="391"/>
      <c r="AR56" s="391"/>
      <c r="AS56" s="391"/>
      <c r="AT56" s="391"/>
      <c r="AU56" s="391"/>
      <c r="AV56" s="391"/>
      <c r="AW56" s="391"/>
      <c r="AX56" s="391"/>
      <c r="AY56" s="391"/>
      <c r="AZ56" s="391"/>
      <c r="BA56" s="391"/>
      <c r="BB56" s="391"/>
      <c r="BC56" s="391"/>
      <c r="BD56" s="391"/>
      <c r="BE56" s="391"/>
      <c r="BF56" s="391"/>
      <c r="BG56" s="391"/>
      <c r="BH56" s="391"/>
      <c r="BI56" s="391"/>
      <c r="BJ56" s="391"/>
      <c r="BK56" s="391"/>
      <c r="BL56" s="391"/>
      <c r="BM56" s="391"/>
      <c r="BN56" s="391"/>
      <c r="BO56" s="391"/>
      <c r="BP56" s="391"/>
    </row>
    <row r="57" spans="1:68">
      <c r="A57" s="391"/>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391"/>
      <c r="BH57" s="391"/>
      <c r="BI57" s="391"/>
      <c r="BJ57" s="391"/>
      <c r="BK57" s="391"/>
      <c r="BL57" s="391"/>
      <c r="BM57" s="391"/>
      <c r="BN57" s="391"/>
      <c r="BO57" s="391"/>
      <c r="BP57" s="391"/>
    </row>
    <row r="58" spans="1:68">
      <c r="A58" s="391"/>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row>
  </sheetData>
  <hyperlinks>
    <hyperlink ref="D4" r:id="rId1" xr:uid="{0A000DCB-369E-49F6-BB87-8EBEE0B9822E}"/>
    <hyperlink ref="D5" r:id="rId2" xr:uid="{80175333-5354-48E2-A533-43CAF1D155D0}"/>
    <hyperlink ref="D6" r:id="rId3" xr:uid="{D1C29846-BF63-491D-88EB-B6A357097DB7}"/>
    <hyperlink ref="D7" r:id="rId4" xr:uid="{1A7D185A-B2C1-4284-83EE-12389E62C76F}"/>
    <hyperlink ref="D8" r:id="rId5" xr:uid="{72B5810F-BBDE-474A-9A0B-4957FD9B6698}"/>
    <hyperlink ref="D3" r:id="rId6" xr:uid="{120D1941-4FEF-4087-8D80-274E27C0068F}"/>
    <hyperlink ref="D2" r:id="rId7" xr:uid="{0682FAAA-F7D1-4210-AADB-9D2809158629}"/>
    <hyperlink ref="Y3" r:id="rId8" display="https://www.sc.edu/study/colleges_schools/moore/study/human_resources/degree_programs/master_of_human_resources/images_docs/031524_mhrbrochure_web.pdf" xr:uid="{4B8C14B8-F102-47EA-AB2B-7F61186F8BE5}"/>
    <hyperlink ref="T6" r:id="rId9" xr:uid="{434568E4-BA1D-4798-B105-F34F4FD8C6D9}"/>
    <hyperlink ref="H3" r:id="rId10" display="309" xr:uid="{FC4FB381-FA48-466D-91F3-2A19D0542212}"/>
    <hyperlink ref="G3" r:id="rId11" display="570" xr:uid="{0CF71C62-99F3-4B0A-89FD-0300E02145D0}"/>
    <hyperlink ref="I3" r:id="rId12" display="3.5" xr:uid="{76E2A5F2-A068-40B3-8C28-DBF15E9D3F0A}"/>
    <hyperlink ref="T2" r:id="rId13" xr:uid="{4F2AC3B8-A21D-4E13-AB1A-896E3D7CF8A1}"/>
    <hyperlink ref="BE2" r:id="rId14" display="84%" xr:uid="{A5B2CB9C-B097-454A-991B-660D1E3FDB92}"/>
    <hyperlink ref="V2" r:id="rId15" xr:uid="{E6BDF112-0876-4232-AFDB-513F6727C313}"/>
    <hyperlink ref="Y2" r:id="rId16" xr:uid="{F416576E-B8DF-4FFE-BB17-286238E01831}"/>
    <hyperlink ref="AB2" r:id="rId17" xr:uid="{363BB32D-86F0-497B-9BB2-208115FCE7CE}"/>
    <hyperlink ref="AE2" r:id="rId18" xr:uid="{CC905A90-522D-4923-8E38-DB4881AC9DCE}"/>
    <hyperlink ref="BG2" r:id="rId19" display="7800" xr:uid="{5E3E18E7-43EF-4A52-A972-51CB3DE8B593}"/>
    <hyperlink ref="BC3" r:id="rId20" display="29" xr:uid="{DEC29BBE-6340-4E97-BEE3-11D0D81DC2F7}"/>
    <hyperlink ref="K3" r:id="rId21" display="28" xr:uid="{78C9DC77-A83D-40B3-8804-1F0B845B2819}"/>
    <hyperlink ref="L3" r:id="rId22" display="350" xr:uid="{6D2E0DD7-2D19-4F3D-B46E-B599F0585D0B}"/>
    <hyperlink ref="N3" r:id="rId23" display="56.80%" xr:uid="{7A77F9DC-5C48-4748-B5F0-903C33A23D3C}"/>
    <hyperlink ref="AH3" r:id="rId24" xr:uid="{242052A6-E520-4418-A378-4F377BE1B757}"/>
    <hyperlink ref="V3" r:id="rId25" xr:uid="{88766915-7800-4F54-9874-EFEF9B30DEE0}"/>
    <hyperlink ref="AE3" r:id="rId26" xr:uid="{DEAC28B2-1B66-4AA2-B44B-61EB9BDFAB7A}"/>
    <hyperlink ref="AK3" r:id="rId27" xr:uid="{305AE1E5-D43C-49D7-8005-704690B21E4F}"/>
    <hyperlink ref="BE4:BF4" r:id="rId28" display="94" xr:uid="{18F13846-327D-4DB4-8911-7A163144366F}"/>
    <hyperlink ref="BG4" r:id="rId29" display="10800" xr:uid="{D48F67B5-4009-4DAF-956E-5EC495AD9AF1}"/>
    <hyperlink ref="V4" r:id="rId30" xr:uid="{A58F72AB-6081-4292-8DDF-4BF3AFB0AE7A}"/>
    <hyperlink ref="AE4" r:id="rId31" xr:uid="{0FEC0541-6C52-4B2B-8AE4-2275B24DDBCE}"/>
    <hyperlink ref="AK4" r:id="rId32" xr:uid="{2919548B-5F0A-4C25-B65C-C95BF93A190B}"/>
    <hyperlink ref="T5" r:id="rId33" xr:uid="{2B0868C4-BD1C-46C4-861D-A1C90C2D4FF1}"/>
    <hyperlink ref="L5" r:id="rId34" display="31" xr:uid="{18307675-0D05-43F1-AC0E-F09C6BEB741C}"/>
    <hyperlink ref="K5" r:id="rId35" display="26" xr:uid="{58C1FF1C-358F-4FF9-B372-224F5619EE85}"/>
    <hyperlink ref="G5:L5" r:id="rId36" display="NA" xr:uid="{AD435EB8-054F-4461-AF0A-30036867A78D}"/>
    <hyperlink ref="V5" r:id="rId37" xr:uid="{9AD5E443-38C4-488A-9B0C-D1E775B79640}"/>
    <hyperlink ref="Y5" r:id="rId38" xr:uid="{FC085BDF-8C68-496E-B31C-E6C1BEA8B8CE}"/>
    <hyperlink ref="AE5" r:id="rId39" xr:uid="{75F4C70C-D54F-41E5-839C-FC7BFBA4A712}"/>
    <hyperlink ref="AK5" r:id="rId40" xr:uid="{5B214213-2C9D-4EFA-9A38-13D4D047D047}"/>
    <hyperlink ref="BC5" r:id="rId41" display="25" xr:uid="{B4ADC445-2C6A-4196-A7F3-40B81FB4843D}"/>
    <hyperlink ref="V6" r:id="rId42" xr:uid="{34D3C746-6B81-4A59-9C54-AFA6BFAADFC2}"/>
    <hyperlink ref="AH6" r:id="rId43" xr:uid="{D55A245D-AE2A-43B2-8972-9F22F42EBE7C}"/>
    <hyperlink ref="AK6" r:id="rId44" xr:uid="{EFFED27C-D49F-461B-BE4B-5C063E34502B}"/>
    <hyperlink ref="G7:N7" r:id="rId45" display="575" xr:uid="{6FDAF7DB-CE07-4CBE-A85D-9FB6C0EB065E}"/>
    <hyperlink ref="BF7" r:id="rId46" display="85000" xr:uid="{AF136EB7-AAA6-4992-9B4E-6CC24D0AEE29}"/>
    <hyperlink ref="T7" r:id="rId47" xr:uid="{B066739C-D9F0-4E62-97FD-6BD770643B16}"/>
    <hyperlink ref="V7" r:id="rId48" xr:uid="{110119AA-EEB0-4051-A9D0-8D41AB52A98E}"/>
    <hyperlink ref="AK7" r:id="rId49" location=":~:text=Fisher%27s%20Office%20of%20Career%20Management" xr:uid="{63DC20F2-8519-4397-A9A1-41C970D56662}"/>
    <hyperlink ref="AH7" r:id="rId50" location=":~:text=Summer%20internship%C2%A0or%C2%A0tutorial%20option%20for%20part%2Dtime%20students" xr:uid="{ADAFC14C-7819-473D-88EB-6D469FD70D8B}"/>
    <hyperlink ref="BC7" r:id="rId51" display="11" xr:uid="{EEC91B22-532A-4AC4-8B40-F9D3C35682C4}"/>
    <hyperlink ref="BE8" r:id="rId52" display="96%" xr:uid="{8B077A7B-E087-48A9-B9B3-E86150B4F092}"/>
    <hyperlink ref="BF8" r:id="rId53" xr:uid="{BC1A292D-84C0-4222-8A22-07CEEF59D06B}"/>
    <hyperlink ref="AH8" r:id="rId54" xr:uid="{E2E97094-1376-4DB8-97AB-411C7139B93B}"/>
    <hyperlink ref="AE8" r:id="rId55" xr:uid="{4C6CA1D4-3014-4B48-ACA7-6CE530123652}"/>
    <hyperlink ref="T8" r:id="rId56" xr:uid="{8671CD3A-C6C8-4224-AA4B-A644B0AA68B8}"/>
    <hyperlink ref="V8" r:id="rId57" xr:uid="{FA3A33FA-4764-4285-9897-5C84797DCDA3}"/>
    <hyperlink ref="AK8" r:id="rId58" xr:uid="{49626BCB-5CE1-427B-A6B0-F5925E881CAD}"/>
    <hyperlink ref="G8:H8" r:id="rId59" display="50th percentile" xr:uid="{3ABE674B-3319-45EC-948D-6E5804CCDAC3}"/>
    <hyperlink ref="I8" r:id="rId60" display="3" xr:uid="{801A223C-1E10-436C-BBF2-AC8E097645CA}"/>
    <hyperlink ref="T4" r:id="rId61" xr:uid="{04D2AA4A-278C-485E-BF6F-1A4189437868}"/>
    <hyperlink ref="AK2" r:id="rId62" xr:uid="{BAD88E4E-3C77-44D4-B5D0-190D6E269430}"/>
    <hyperlink ref="AM2" r:id="rId63" xr:uid="{3EA5DB4C-DCB2-450C-816E-300B8BD44944}"/>
    <hyperlink ref="T3" r:id="rId64" xr:uid="{E3C97BD8-09A3-4CFF-9946-21AD9352E122}"/>
  </hyperlinks>
  <pageMargins left="0.7" right="0.7" top="0.75" bottom="0.75" header="0.3" footer="0.3"/>
  <legacyDrawing r:id="rId6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3EE3-DA72-432F-988A-67B28CAC2431}">
  <sheetPr>
    <tabColor rgb="FFFFFF00"/>
  </sheetPr>
  <dimension ref="A1:BR9"/>
  <sheetViews>
    <sheetView workbookViewId="0">
      <pane xSplit="1" ySplit="1" topLeftCell="AJ2" activePane="bottomRight" state="frozen"/>
      <selection pane="bottomRight" activeCell="BX11" sqref="BX11"/>
      <selection pane="bottomLeft"/>
      <selection pane="topRight"/>
    </sheetView>
  </sheetViews>
  <sheetFormatPr defaultColWidth="8.85546875" defaultRowHeight="15"/>
  <cols>
    <col min="1" max="1" width="32.85546875" style="28" bestFit="1" customWidth="1"/>
    <col min="2" max="2" width="33.28515625" style="28" customWidth="1"/>
    <col min="3" max="3" width="53.140625" style="28" customWidth="1"/>
    <col min="4" max="4" width="15.42578125" style="28" customWidth="1"/>
    <col min="5" max="5" width="18.42578125" style="28" customWidth="1"/>
    <col min="6" max="6" width="18.140625" style="28" customWidth="1"/>
    <col min="7" max="7" width="14.42578125" style="28" bestFit="1" customWidth="1"/>
    <col min="8" max="8" width="12.28515625" style="28" bestFit="1" customWidth="1"/>
    <col min="9" max="9" width="26.85546875" style="28" bestFit="1" customWidth="1"/>
    <col min="10" max="10" width="22.85546875" style="28" customWidth="1"/>
    <col min="11" max="11" width="19.7109375" style="28" bestFit="1" customWidth="1"/>
    <col min="12" max="12" width="9.28515625" style="28" bestFit="1" customWidth="1"/>
    <col min="13" max="13" width="13.7109375" style="28" customWidth="1"/>
    <col min="14" max="14" width="9.140625" style="28"/>
    <col min="15" max="15" width="16.7109375" style="28" customWidth="1"/>
    <col min="16" max="16" width="16.42578125" style="28" customWidth="1"/>
    <col min="17" max="17" width="20" style="28" bestFit="1" customWidth="1"/>
    <col min="18" max="18" width="12.140625" style="28" bestFit="1" customWidth="1"/>
    <col min="19" max="19" width="28.140625" style="28" customWidth="1"/>
    <col min="20" max="20" width="15.140625" style="28" customWidth="1"/>
    <col min="21" max="21" width="27.42578125" style="28" customWidth="1"/>
    <col min="22" max="22" width="25" style="28" customWidth="1"/>
    <col min="23" max="23" width="37.140625" style="28" customWidth="1"/>
    <col min="24" max="24" width="32.28515625" style="28" customWidth="1"/>
    <col min="25" max="25" width="29.42578125" style="28" customWidth="1"/>
    <col min="26" max="26" width="40.42578125" style="28" customWidth="1"/>
    <col min="27" max="27" width="28.28515625" style="28" customWidth="1"/>
    <col min="28" max="28" width="25.140625" style="28" customWidth="1"/>
    <col min="29" max="29" width="36.140625" style="28" customWidth="1"/>
    <col min="30" max="30" width="48.85546875" style="28" customWidth="1"/>
    <col min="31" max="31" width="42.42578125" style="28" customWidth="1"/>
    <col min="32" max="32" width="54.140625" style="28" customWidth="1"/>
    <col min="33" max="39" width="55.140625" style="28" customWidth="1"/>
    <col min="40" max="40" width="24.140625" style="28" bestFit="1" customWidth="1"/>
    <col min="41" max="41" width="28.42578125" style="28" bestFit="1" customWidth="1"/>
    <col min="42" max="42" width="28.85546875" style="28" bestFit="1" customWidth="1"/>
    <col min="43" max="43" width="19.7109375" style="28" bestFit="1" customWidth="1"/>
    <col min="44" max="44" width="24" style="28" bestFit="1" customWidth="1"/>
    <col min="45" max="45" width="24.42578125" style="28" bestFit="1" customWidth="1"/>
    <col min="46" max="46" width="37.7109375" style="28" bestFit="1" customWidth="1"/>
    <col min="47" max="47" width="41.85546875" style="28" bestFit="1" customWidth="1"/>
    <col min="48" max="48" width="42.42578125" style="28" bestFit="1" customWidth="1"/>
    <col min="49" max="49" width="23.85546875" style="28" customWidth="1"/>
    <col min="50" max="50" width="43.140625" style="28" customWidth="1"/>
    <col min="51" max="51" width="53" style="28" customWidth="1"/>
    <col min="52" max="52" width="15.42578125" style="28" customWidth="1"/>
    <col min="53" max="53" width="15.140625" style="28" customWidth="1"/>
    <col min="54" max="54" width="17.85546875" style="28" customWidth="1"/>
    <col min="55" max="55" width="24.42578125" style="28" customWidth="1"/>
    <col min="56" max="56" width="11.7109375" style="28" customWidth="1"/>
    <col min="57" max="57" width="15.42578125" style="28" customWidth="1"/>
    <col min="58" max="58" width="22.28515625" style="28" customWidth="1"/>
    <col min="59" max="59" width="22.140625" style="28" customWidth="1"/>
    <col min="60" max="60" width="11.28515625" style="28" bestFit="1" customWidth="1"/>
    <col min="61" max="61" width="14.28515625" style="28" bestFit="1" customWidth="1"/>
    <col min="62" max="62" width="15.42578125" style="28" bestFit="1" customWidth="1"/>
    <col min="63" max="68" width="8.85546875" style="28"/>
    <col min="69" max="69" width="14.7109375" style="28" customWidth="1"/>
    <col min="70" max="16384" width="8.85546875" style="28"/>
  </cols>
  <sheetData>
    <row r="1" spans="1:70" s="38" customFormat="1">
      <c r="A1" s="67" t="s">
        <v>4</v>
      </c>
      <c r="B1" s="67" t="s">
        <v>117</v>
      </c>
      <c r="C1" s="67" t="s">
        <v>7</v>
      </c>
      <c r="D1" s="67" t="s">
        <v>11</v>
      </c>
      <c r="E1" s="67" t="s">
        <v>82</v>
      </c>
      <c r="F1" s="67" t="s">
        <v>83</v>
      </c>
      <c r="G1" s="67" t="s">
        <v>84</v>
      </c>
      <c r="H1" s="67" t="s">
        <v>85</v>
      </c>
      <c r="I1" s="67" t="s">
        <v>14</v>
      </c>
      <c r="J1" s="67" t="s">
        <v>86</v>
      </c>
      <c r="K1" s="67" t="s">
        <v>20</v>
      </c>
      <c r="L1" s="67" t="s">
        <v>21</v>
      </c>
      <c r="M1" s="67" t="s">
        <v>25</v>
      </c>
      <c r="N1" s="67" t="s">
        <v>27</v>
      </c>
      <c r="O1" s="67" t="s">
        <v>28</v>
      </c>
      <c r="P1" s="68" t="s">
        <v>30</v>
      </c>
      <c r="Q1" s="67" t="s">
        <v>118</v>
      </c>
      <c r="R1" s="67" t="s">
        <v>38</v>
      </c>
      <c r="S1" s="67" t="s">
        <v>119</v>
      </c>
      <c r="T1" s="67" t="s">
        <v>952</v>
      </c>
      <c r="U1" s="67" t="s">
        <v>953</v>
      </c>
      <c r="V1" s="67" t="s">
        <v>954</v>
      </c>
      <c r="W1" s="67" t="s">
        <v>955</v>
      </c>
      <c r="X1" s="67" t="s">
        <v>956</v>
      </c>
      <c r="Y1" s="67" t="s">
        <v>957</v>
      </c>
      <c r="Z1" s="67" t="s">
        <v>958</v>
      </c>
      <c r="AA1" s="67" t="s">
        <v>959</v>
      </c>
      <c r="AB1" s="67" t="s">
        <v>960</v>
      </c>
      <c r="AC1" s="67" t="s">
        <v>961</v>
      </c>
      <c r="AD1" s="67" t="s">
        <v>87</v>
      </c>
      <c r="AE1" s="69" t="s">
        <v>88</v>
      </c>
      <c r="AF1" s="69" t="s">
        <v>89</v>
      </c>
      <c r="AG1" s="67" t="s">
        <v>963</v>
      </c>
      <c r="AH1" s="67" t="s">
        <v>964</v>
      </c>
      <c r="AI1" s="67" t="s">
        <v>965</v>
      </c>
      <c r="AJ1" s="67" t="s">
        <v>269</v>
      </c>
      <c r="AK1" s="67" t="s">
        <v>270</v>
      </c>
      <c r="AL1" s="67" t="s">
        <v>966</v>
      </c>
      <c r="AM1" s="67" t="s">
        <v>967</v>
      </c>
      <c r="AN1" s="67" t="s">
        <v>94</v>
      </c>
      <c r="AO1" s="67" t="s">
        <v>95</v>
      </c>
      <c r="AP1" s="67" t="s">
        <v>96</v>
      </c>
      <c r="AQ1" s="67" t="s">
        <v>97</v>
      </c>
      <c r="AR1" s="67" t="s">
        <v>98</v>
      </c>
      <c r="AS1" s="67" t="s">
        <v>99</v>
      </c>
      <c r="AT1" s="67" t="s">
        <v>126</v>
      </c>
      <c r="AU1" s="67" t="s">
        <v>127</v>
      </c>
      <c r="AV1" s="67" t="s">
        <v>128</v>
      </c>
      <c r="AW1" s="67" t="s">
        <v>968</v>
      </c>
      <c r="AX1" s="67" t="s">
        <v>68</v>
      </c>
      <c r="AY1" s="67" t="s">
        <v>70</v>
      </c>
      <c r="AZ1" s="67" t="s">
        <v>74</v>
      </c>
      <c r="BA1" s="67" t="s">
        <v>76</v>
      </c>
      <c r="BB1" s="67" t="s">
        <v>62</v>
      </c>
      <c r="BC1" s="67" t="s">
        <v>64</v>
      </c>
      <c r="BD1" s="67" t="s">
        <v>101</v>
      </c>
      <c r="BE1" s="67" t="s">
        <v>102</v>
      </c>
      <c r="BF1" s="67" t="s">
        <v>69</v>
      </c>
      <c r="BG1" s="67" t="s">
        <v>71</v>
      </c>
      <c r="BH1" s="326" t="s">
        <v>969</v>
      </c>
      <c r="BI1" s="326" t="s">
        <v>970</v>
      </c>
      <c r="BJ1" s="326" t="s">
        <v>971</v>
      </c>
      <c r="BK1" s="326" t="s">
        <v>1055</v>
      </c>
      <c r="BL1" s="326" t="s">
        <v>1056</v>
      </c>
      <c r="BM1" s="326" t="s">
        <v>1057</v>
      </c>
      <c r="BN1" s="326" t="s">
        <v>1058</v>
      </c>
      <c r="BO1" s="326" t="s">
        <v>1059</v>
      </c>
      <c r="BP1" s="326" t="s">
        <v>1060</v>
      </c>
      <c r="BQ1" s="326" t="s">
        <v>1061</v>
      </c>
      <c r="BR1" s="326" t="s">
        <v>1062</v>
      </c>
    </row>
    <row r="2" spans="1:70" s="43" customFormat="1">
      <c r="A2" s="67" t="s">
        <v>132</v>
      </c>
      <c r="B2" s="70" t="s">
        <v>133</v>
      </c>
      <c r="C2" s="71" t="s">
        <v>528</v>
      </c>
      <c r="D2" s="72" t="s">
        <v>1462</v>
      </c>
      <c r="E2" s="57" t="s">
        <v>136</v>
      </c>
      <c r="F2" s="57" t="s">
        <v>137</v>
      </c>
      <c r="G2" s="57" t="s">
        <v>138</v>
      </c>
      <c r="H2" s="57" t="s">
        <v>138</v>
      </c>
      <c r="I2" s="73">
        <v>3.41</v>
      </c>
      <c r="J2" s="73" t="s">
        <v>1463</v>
      </c>
      <c r="K2" s="57" t="s">
        <v>138</v>
      </c>
      <c r="L2" s="57" t="s">
        <v>138</v>
      </c>
      <c r="M2" s="57" t="s">
        <v>138</v>
      </c>
      <c r="N2" s="74">
        <v>0.31</v>
      </c>
      <c r="O2" s="57" t="s">
        <v>141</v>
      </c>
      <c r="P2" s="75" t="s">
        <v>1464</v>
      </c>
      <c r="Q2" s="57" t="s">
        <v>1465</v>
      </c>
      <c r="R2" s="57">
        <v>30</v>
      </c>
      <c r="S2" s="254" t="s">
        <v>1466</v>
      </c>
      <c r="T2" s="206" t="s">
        <v>1467</v>
      </c>
      <c r="U2" s="76" t="s">
        <v>141</v>
      </c>
      <c r="V2" s="206" t="s">
        <v>979</v>
      </c>
      <c r="W2" s="254" t="s">
        <v>1468</v>
      </c>
      <c r="X2" s="57" t="s">
        <v>141</v>
      </c>
      <c r="Y2" s="206" t="s">
        <v>979</v>
      </c>
      <c r="Z2" s="254" t="s">
        <v>1469</v>
      </c>
      <c r="AA2" s="57" t="s">
        <v>141</v>
      </c>
      <c r="AB2" s="257" t="s">
        <v>979</v>
      </c>
      <c r="AC2" s="57" t="s">
        <v>1470</v>
      </c>
      <c r="AD2" s="57" t="s">
        <v>141</v>
      </c>
      <c r="AE2" s="206" t="s">
        <v>1471</v>
      </c>
      <c r="AF2" s="254" t="s">
        <v>1472</v>
      </c>
      <c r="AG2" s="57" t="s">
        <v>141</v>
      </c>
      <c r="AH2" s="206" t="s">
        <v>1473</v>
      </c>
      <c r="AI2" s="254" t="s">
        <v>1474</v>
      </c>
      <c r="AJ2" s="57" t="s">
        <v>141</v>
      </c>
      <c r="AK2" s="206" t="s">
        <v>1475</v>
      </c>
      <c r="AL2" s="57" t="s">
        <v>139</v>
      </c>
      <c r="AM2" s="57" t="s">
        <v>138</v>
      </c>
      <c r="AN2" s="279">
        <v>813</v>
      </c>
      <c r="AO2" s="279">
        <v>978</v>
      </c>
      <c r="AP2" s="279">
        <v>1575</v>
      </c>
      <c r="AQ2" s="279">
        <v>24390</v>
      </c>
      <c r="AR2" s="279">
        <v>29340</v>
      </c>
      <c r="AS2" s="279">
        <v>47250</v>
      </c>
      <c r="AT2" s="185">
        <f>(AQ2/(SUM($BF2:$BG2)))*12</f>
        <v>3.3537682338516541</v>
      </c>
      <c r="AU2" s="185">
        <f t="shared" ref="AU2:AV2" si="0">(AR2/(SUM($BF2:$BG2)))*12</f>
        <v>4.0344223034525433</v>
      </c>
      <c r="AV2" s="185">
        <f t="shared" si="0"/>
        <v>6.4971524825539415</v>
      </c>
      <c r="AW2" s="57" t="s">
        <v>141</v>
      </c>
      <c r="AX2" s="57" t="s">
        <v>141</v>
      </c>
      <c r="AY2" s="57" t="s">
        <v>141</v>
      </c>
      <c r="AZ2" s="57" t="s">
        <v>1206</v>
      </c>
      <c r="BA2" s="166">
        <v>50000</v>
      </c>
      <c r="BB2" s="73">
        <v>11</v>
      </c>
      <c r="BC2" s="73">
        <v>10</v>
      </c>
      <c r="BD2" s="73">
        <v>15</v>
      </c>
      <c r="BE2" s="74">
        <v>0.82</v>
      </c>
      <c r="BF2" s="167">
        <v>87269</v>
      </c>
      <c r="BG2" s="57" t="s">
        <v>138</v>
      </c>
      <c r="BH2" s="327">
        <f>(($BF$2-(AQ2+$BA$2))/(AQ2+$BA$2))</f>
        <v>0.17312810861674957</v>
      </c>
      <c r="BI2" s="327">
        <f>(($BF$2-(AR2+$BA$2))/(AR2+$BA$2))</f>
        <v>9.9936980085707089E-2</v>
      </c>
      <c r="BJ2" s="327">
        <f>(($BF$2-(AS2+$BA$2))/(AS2+$BA$2))</f>
        <v>-0.10263239074550129</v>
      </c>
      <c r="BK2" s="327">
        <v>813</v>
      </c>
      <c r="BL2" s="327">
        <v>978</v>
      </c>
      <c r="BM2" s="327">
        <v>1575</v>
      </c>
      <c r="BN2" s="327">
        <v>24390</v>
      </c>
      <c r="BO2" s="327">
        <v>29340</v>
      </c>
      <c r="BP2" s="327">
        <v>47250</v>
      </c>
      <c r="BQ2" s="327" t="s">
        <v>1476</v>
      </c>
      <c r="BR2" s="327" t="s">
        <v>1075</v>
      </c>
    </row>
    <row r="3" spans="1:70">
      <c r="A3" s="67" t="s">
        <v>435</v>
      </c>
      <c r="B3" s="70" t="s">
        <v>436</v>
      </c>
      <c r="C3" s="77" t="s">
        <v>491</v>
      </c>
      <c r="D3" s="78" t="s">
        <v>1477</v>
      </c>
      <c r="E3" s="42" t="s">
        <v>439</v>
      </c>
      <c r="F3" s="42" t="s">
        <v>214</v>
      </c>
      <c r="G3" s="42" t="s">
        <v>138</v>
      </c>
      <c r="H3" s="42" t="s">
        <v>138</v>
      </c>
      <c r="I3" s="46">
        <v>3.5</v>
      </c>
      <c r="J3" s="79" t="s">
        <v>138</v>
      </c>
      <c r="K3" s="42" t="s">
        <v>138</v>
      </c>
      <c r="L3" s="42" t="s">
        <v>138</v>
      </c>
      <c r="M3" s="42" t="s">
        <v>138</v>
      </c>
      <c r="N3" s="42" t="s">
        <v>138</v>
      </c>
      <c r="O3" s="42" t="s">
        <v>141</v>
      </c>
      <c r="P3" s="42">
        <v>20</v>
      </c>
      <c r="Q3" s="42" t="s">
        <v>1478</v>
      </c>
      <c r="R3" s="42">
        <v>31</v>
      </c>
      <c r="S3" s="98" t="s">
        <v>1479</v>
      </c>
      <c r="T3" s="275" t="s">
        <v>1477</v>
      </c>
      <c r="U3" s="42" t="s">
        <v>141</v>
      </c>
      <c r="V3" s="275" t="s">
        <v>1477</v>
      </c>
      <c r="W3" s="98" t="s">
        <v>1480</v>
      </c>
      <c r="X3" s="42" t="s">
        <v>139</v>
      </c>
      <c r="Y3" s="42" t="s">
        <v>138</v>
      </c>
      <c r="Z3" s="42" t="s">
        <v>138</v>
      </c>
      <c r="AA3" s="42" t="s">
        <v>139</v>
      </c>
      <c r="AB3" s="42" t="s">
        <v>138</v>
      </c>
      <c r="AC3" s="42" t="s">
        <v>138</v>
      </c>
      <c r="AD3" s="42" t="s">
        <v>141</v>
      </c>
      <c r="AE3" s="275" t="s">
        <v>1477</v>
      </c>
      <c r="AF3" s="98" t="s">
        <v>1481</v>
      </c>
      <c r="AG3" s="42" t="s">
        <v>141</v>
      </c>
      <c r="AH3" s="190" t="s">
        <v>1482</v>
      </c>
      <c r="AI3" s="98" t="s">
        <v>1483</v>
      </c>
      <c r="AJ3" s="42" t="s">
        <v>141</v>
      </c>
      <c r="AK3" s="190" t="s">
        <v>443</v>
      </c>
      <c r="AL3" s="42" t="s">
        <v>141</v>
      </c>
      <c r="AM3" s="46" t="s">
        <v>1477</v>
      </c>
      <c r="AN3" s="166">
        <v>1850</v>
      </c>
      <c r="AO3" s="166">
        <v>1850</v>
      </c>
      <c r="AP3" s="166">
        <v>1850</v>
      </c>
      <c r="AQ3" s="166">
        <v>55955</v>
      </c>
      <c r="AR3" s="166">
        <v>55955</v>
      </c>
      <c r="AS3" s="166">
        <v>55955</v>
      </c>
      <c r="AT3" s="185" t="s">
        <v>138</v>
      </c>
      <c r="AU3" s="185" t="s">
        <v>138</v>
      </c>
      <c r="AV3" s="185" t="s">
        <v>138</v>
      </c>
      <c r="AW3" s="42" t="s">
        <v>139</v>
      </c>
      <c r="AX3" s="42" t="s">
        <v>138</v>
      </c>
      <c r="AY3" s="42" t="s">
        <v>138</v>
      </c>
      <c r="AZ3" s="42" t="s">
        <v>1206</v>
      </c>
      <c r="BA3" s="99">
        <v>49803</v>
      </c>
      <c r="BB3" s="41">
        <v>2</v>
      </c>
      <c r="BC3" s="42" t="s">
        <v>138</v>
      </c>
      <c r="BD3" s="42" t="s">
        <v>138</v>
      </c>
      <c r="BE3" s="80">
        <v>0.84399999999999997</v>
      </c>
      <c r="BF3" s="166" t="s">
        <v>138</v>
      </c>
      <c r="BG3" s="42" t="s">
        <v>138</v>
      </c>
      <c r="BH3" s="327">
        <f t="shared" ref="BH3:BJ9" si="1">(($BF$2-(AQ3+$BA$2))/(AQ3+$BA$2))</f>
        <v>-0.17635788778254918</v>
      </c>
      <c r="BI3" s="327">
        <f t="shared" si="1"/>
        <v>-0.17635788778254918</v>
      </c>
      <c r="BJ3" s="327">
        <f t="shared" si="1"/>
        <v>-0.17635788778254918</v>
      </c>
      <c r="BK3" s="327">
        <v>1850</v>
      </c>
      <c r="BL3" s="327">
        <v>1850</v>
      </c>
      <c r="BM3" s="327">
        <v>1850</v>
      </c>
      <c r="BN3" s="327">
        <v>57350</v>
      </c>
      <c r="BO3" s="327">
        <v>57350</v>
      </c>
      <c r="BP3" s="327">
        <v>57350</v>
      </c>
      <c r="BQ3" s="327" t="s">
        <v>1484</v>
      </c>
      <c r="BR3" s="327" t="s">
        <v>1170</v>
      </c>
    </row>
    <row r="4" spans="1:70">
      <c r="A4" s="67" t="s">
        <v>1485</v>
      </c>
      <c r="B4" s="70" t="s">
        <v>911</v>
      </c>
      <c r="C4" s="77" t="s">
        <v>491</v>
      </c>
      <c r="D4" s="78" t="s">
        <v>1486</v>
      </c>
      <c r="E4" s="42" t="s">
        <v>1487</v>
      </c>
      <c r="F4" s="42" t="s">
        <v>214</v>
      </c>
      <c r="G4" s="41">
        <v>705</v>
      </c>
      <c r="H4" s="41" t="s">
        <v>1488</v>
      </c>
      <c r="I4" s="41">
        <v>3.4</v>
      </c>
      <c r="J4" s="41">
        <v>53</v>
      </c>
      <c r="K4" s="41">
        <v>23</v>
      </c>
      <c r="L4" s="41">
        <v>50</v>
      </c>
      <c r="M4" s="81">
        <v>0.96199999999999997</v>
      </c>
      <c r="N4" s="81">
        <v>0.38300000000000001</v>
      </c>
      <c r="O4" s="79" t="s">
        <v>141</v>
      </c>
      <c r="P4" s="82" t="s">
        <v>1489</v>
      </c>
      <c r="Q4" s="42" t="s">
        <v>1408</v>
      </c>
      <c r="R4" s="42">
        <v>36</v>
      </c>
      <c r="S4" s="98" t="s">
        <v>1490</v>
      </c>
      <c r="T4" s="174" t="s">
        <v>1491</v>
      </c>
      <c r="U4" s="83" t="s">
        <v>139</v>
      </c>
      <c r="V4" s="42" t="s">
        <v>138</v>
      </c>
      <c r="W4" s="42" t="s">
        <v>138</v>
      </c>
      <c r="X4" s="42" t="s">
        <v>139</v>
      </c>
      <c r="Y4" s="42" t="s">
        <v>138</v>
      </c>
      <c r="Z4" s="42" t="s">
        <v>138</v>
      </c>
      <c r="AA4" s="42" t="s">
        <v>139</v>
      </c>
      <c r="AB4" s="42" t="s">
        <v>138</v>
      </c>
      <c r="AC4" s="42" t="s">
        <v>138</v>
      </c>
      <c r="AD4" s="46" t="s">
        <v>1492</v>
      </c>
      <c r="AE4" s="174" t="s">
        <v>1493</v>
      </c>
      <c r="AF4" s="98" t="s">
        <v>1494</v>
      </c>
      <c r="AG4" s="42" t="s">
        <v>139</v>
      </c>
      <c r="AH4" s="42" t="s">
        <v>138</v>
      </c>
      <c r="AI4" s="42" t="s">
        <v>138</v>
      </c>
      <c r="AJ4" s="26" t="s">
        <v>141</v>
      </c>
      <c r="AK4" s="190" t="s">
        <v>1495</v>
      </c>
      <c r="AL4" s="42" t="s">
        <v>139</v>
      </c>
      <c r="AM4" s="42" t="s">
        <v>138</v>
      </c>
      <c r="AN4" s="166">
        <v>2243</v>
      </c>
      <c r="AO4" s="166">
        <v>2243</v>
      </c>
      <c r="AP4" s="166">
        <v>2243</v>
      </c>
      <c r="AQ4" s="166">
        <v>80730</v>
      </c>
      <c r="AR4" s="166">
        <v>80730</v>
      </c>
      <c r="AS4" s="166">
        <v>80730</v>
      </c>
      <c r="AT4" s="185">
        <f t="shared" ref="AT4:AT8" si="2">(AQ4/(SUM($BF4:$BG4)))*12</f>
        <v>16.146000000000001</v>
      </c>
      <c r="AU4" s="185">
        <f t="shared" ref="AU4:AU8" si="3">(AR4/(SUM($BF4:$BG4)))*12</f>
        <v>16.146000000000001</v>
      </c>
      <c r="AV4" s="185">
        <f t="shared" ref="AV4:AV8" si="4">(AS4/(SUM($BF4:$BG4)))*12</f>
        <v>16.146000000000001</v>
      </c>
      <c r="AW4" s="42" t="s">
        <v>141</v>
      </c>
      <c r="AX4" s="42" t="s">
        <v>138</v>
      </c>
      <c r="AY4" s="42" t="s">
        <v>138</v>
      </c>
      <c r="AZ4" s="42" t="s">
        <v>1496</v>
      </c>
      <c r="BA4" s="99">
        <v>45976</v>
      </c>
      <c r="BB4" s="42" t="s">
        <v>138</v>
      </c>
      <c r="BC4" s="42" t="s">
        <v>138</v>
      </c>
      <c r="BD4" s="41">
        <v>37</v>
      </c>
      <c r="BE4" s="54">
        <v>0.67</v>
      </c>
      <c r="BF4" s="223">
        <v>60000</v>
      </c>
      <c r="BG4" s="42" t="s">
        <v>138</v>
      </c>
      <c r="BH4" s="327">
        <f t="shared" si="1"/>
        <v>-0.33244855809684082</v>
      </c>
      <c r="BI4" s="327">
        <f t="shared" si="1"/>
        <v>-0.33244855809684082</v>
      </c>
      <c r="BJ4" s="327">
        <f t="shared" si="1"/>
        <v>-0.33244855809684082</v>
      </c>
      <c r="BK4" s="327">
        <v>2310</v>
      </c>
      <c r="BL4" s="327">
        <v>2310</v>
      </c>
      <c r="BM4" s="327">
        <v>2310</v>
      </c>
      <c r="BN4" s="327">
        <v>83160</v>
      </c>
      <c r="BO4" s="327">
        <v>83160</v>
      </c>
      <c r="BP4" s="327">
        <v>83160</v>
      </c>
      <c r="BQ4" s="327" t="s">
        <v>1497</v>
      </c>
      <c r="BR4" s="327" t="s">
        <v>1075</v>
      </c>
    </row>
    <row r="5" spans="1:70">
      <c r="A5" s="67" t="s">
        <v>1498</v>
      </c>
      <c r="B5" s="77" t="s">
        <v>445</v>
      </c>
      <c r="C5" s="77" t="s">
        <v>1499</v>
      </c>
      <c r="D5" s="78" t="s">
        <v>1500</v>
      </c>
      <c r="E5" s="42" t="s">
        <v>448</v>
      </c>
      <c r="F5" s="42" t="s">
        <v>449</v>
      </c>
      <c r="G5" s="42" t="s">
        <v>138</v>
      </c>
      <c r="H5" s="42" t="s">
        <v>138</v>
      </c>
      <c r="I5" s="41">
        <v>3.5</v>
      </c>
      <c r="J5" s="41">
        <v>36</v>
      </c>
      <c r="K5" s="46" t="s">
        <v>138</v>
      </c>
      <c r="L5" s="41" t="s">
        <v>1501</v>
      </c>
      <c r="M5" s="41">
        <v>0</v>
      </c>
      <c r="N5" s="41">
        <v>20</v>
      </c>
      <c r="O5" s="46" t="s">
        <v>141</v>
      </c>
      <c r="P5" s="84" t="s">
        <v>1502</v>
      </c>
      <c r="Q5" s="46" t="s">
        <v>1408</v>
      </c>
      <c r="R5" s="42" t="s">
        <v>304</v>
      </c>
      <c r="S5" s="98" t="s">
        <v>1503</v>
      </c>
      <c r="T5" s="174" t="s">
        <v>1504</v>
      </c>
      <c r="U5" s="42" t="s">
        <v>141</v>
      </c>
      <c r="V5" s="275" t="s">
        <v>1505</v>
      </c>
      <c r="W5" s="98" t="s">
        <v>1506</v>
      </c>
      <c r="X5" s="42" t="s">
        <v>141</v>
      </c>
      <c r="Y5" s="174" t="s">
        <v>1507</v>
      </c>
      <c r="Z5" s="98" t="s">
        <v>1508</v>
      </c>
      <c r="AA5" s="42" t="s">
        <v>141</v>
      </c>
      <c r="AB5" s="174" t="s">
        <v>1507</v>
      </c>
      <c r="AC5" s="42" t="s">
        <v>1509</v>
      </c>
      <c r="AD5" s="42" t="s">
        <v>141</v>
      </c>
      <c r="AE5" s="277" t="s">
        <v>1505</v>
      </c>
      <c r="AF5" s="98" t="s">
        <v>1510</v>
      </c>
      <c r="AG5" s="42" t="s">
        <v>139</v>
      </c>
      <c r="AH5" s="42" t="s">
        <v>138</v>
      </c>
      <c r="AI5" s="42" t="s">
        <v>138</v>
      </c>
      <c r="AJ5" s="42" t="s">
        <v>141</v>
      </c>
      <c r="AK5" s="190" t="s">
        <v>1511</v>
      </c>
      <c r="AL5" s="42" t="s">
        <v>139</v>
      </c>
      <c r="AM5" s="42" t="s">
        <v>138</v>
      </c>
      <c r="AN5" s="166">
        <v>603</v>
      </c>
      <c r="AO5" s="166">
        <v>603</v>
      </c>
      <c r="AP5" s="166">
        <v>603</v>
      </c>
      <c r="AQ5" s="166">
        <v>18104</v>
      </c>
      <c r="AR5" s="166">
        <v>18104</v>
      </c>
      <c r="AS5" s="166">
        <v>18104</v>
      </c>
      <c r="AT5" s="185" t="s">
        <v>138</v>
      </c>
      <c r="AU5" s="185" t="s">
        <v>138</v>
      </c>
      <c r="AV5" s="185" t="s">
        <v>138</v>
      </c>
      <c r="AW5" s="42" t="s">
        <v>141</v>
      </c>
      <c r="AX5" s="42" t="s">
        <v>138</v>
      </c>
      <c r="AY5" s="42" t="s">
        <v>138</v>
      </c>
      <c r="AZ5" s="53" t="s">
        <v>1512</v>
      </c>
      <c r="BA5" s="99">
        <v>42165</v>
      </c>
      <c r="BB5" s="41">
        <v>6</v>
      </c>
      <c r="BC5" s="42" t="s">
        <v>138</v>
      </c>
      <c r="BD5" s="42" t="s">
        <v>138</v>
      </c>
      <c r="BE5" s="54">
        <v>0.95</v>
      </c>
      <c r="BF5" s="166" t="s">
        <v>138</v>
      </c>
      <c r="BG5" s="42" t="s">
        <v>138</v>
      </c>
      <c r="BH5" s="327">
        <f t="shared" si="1"/>
        <v>0.28140784682250675</v>
      </c>
      <c r="BI5" s="327">
        <f t="shared" si="1"/>
        <v>0.28140784682250675</v>
      </c>
      <c r="BJ5" s="327">
        <f t="shared" si="1"/>
        <v>0.28140784682250675</v>
      </c>
      <c r="BK5" s="327">
        <v>710</v>
      </c>
      <c r="BL5" s="327">
        <v>1395.4</v>
      </c>
      <c r="BM5" s="327">
        <v>1395.4</v>
      </c>
      <c r="BN5" s="327">
        <v>21300</v>
      </c>
      <c r="BO5" s="327">
        <v>41862</v>
      </c>
      <c r="BP5" s="327">
        <v>41862</v>
      </c>
      <c r="BQ5" s="327" t="s">
        <v>1513</v>
      </c>
      <c r="BR5" s="327" t="s">
        <v>1170</v>
      </c>
    </row>
    <row r="6" spans="1:70">
      <c r="A6" s="67" t="s">
        <v>570</v>
      </c>
      <c r="B6" s="77" t="s">
        <v>571</v>
      </c>
      <c r="C6" s="77" t="s">
        <v>415</v>
      </c>
      <c r="D6" s="78" t="s">
        <v>1514</v>
      </c>
      <c r="E6" s="42" t="s">
        <v>417</v>
      </c>
      <c r="F6" s="42" t="s">
        <v>170</v>
      </c>
      <c r="G6" s="42" t="s">
        <v>138</v>
      </c>
      <c r="H6" s="42" t="s">
        <v>138</v>
      </c>
      <c r="I6" s="46">
        <v>3.37</v>
      </c>
      <c r="J6" s="85" t="s">
        <v>138</v>
      </c>
      <c r="K6" s="85" t="s">
        <v>138</v>
      </c>
      <c r="L6" s="73">
        <v>27</v>
      </c>
      <c r="M6" s="74">
        <v>0.63</v>
      </c>
      <c r="N6" s="74">
        <v>0.37</v>
      </c>
      <c r="O6" s="42" t="s">
        <v>141</v>
      </c>
      <c r="P6" s="42">
        <v>9</v>
      </c>
      <c r="Q6" s="42" t="s">
        <v>1408</v>
      </c>
      <c r="R6" s="42">
        <v>30</v>
      </c>
      <c r="S6" s="98" t="s">
        <v>1515</v>
      </c>
      <c r="T6" s="174" t="s">
        <v>1516</v>
      </c>
      <c r="U6" s="42" t="s">
        <v>141</v>
      </c>
      <c r="V6" s="174" t="s">
        <v>1514</v>
      </c>
      <c r="W6" s="98" t="s">
        <v>1517</v>
      </c>
      <c r="X6" s="42" t="s">
        <v>141</v>
      </c>
      <c r="Y6" s="275" t="s">
        <v>1518</v>
      </c>
      <c r="Z6" s="98" t="s">
        <v>1519</v>
      </c>
      <c r="AA6" s="42" t="s">
        <v>139</v>
      </c>
      <c r="AB6" s="42" t="s">
        <v>138</v>
      </c>
      <c r="AC6" s="42" t="s">
        <v>138</v>
      </c>
      <c r="AD6" s="42" t="s">
        <v>141</v>
      </c>
      <c r="AE6" s="275" t="s">
        <v>1516</v>
      </c>
      <c r="AF6" s="98" t="s">
        <v>1520</v>
      </c>
      <c r="AG6" s="42" t="s">
        <v>139</v>
      </c>
      <c r="AH6" s="42" t="s">
        <v>138</v>
      </c>
      <c r="AI6" s="42" t="s">
        <v>138</v>
      </c>
      <c r="AJ6" s="42" t="s">
        <v>141</v>
      </c>
      <c r="AK6" s="190" t="s">
        <v>1521</v>
      </c>
      <c r="AL6" s="42" t="s">
        <v>139</v>
      </c>
      <c r="AM6" s="42" t="s">
        <v>138</v>
      </c>
      <c r="AN6" s="166">
        <v>923</v>
      </c>
      <c r="AO6" s="166">
        <v>1579</v>
      </c>
      <c r="AP6" s="166">
        <v>1579</v>
      </c>
      <c r="AQ6" s="166">
        <v>27694</v>
      </c>
      <c r="AR6" s="166">
        <v>47368</v>
      </c>
      <c r="AS6" s="166">
        <v>47368</v>
      </c>
      <c r="AT6" s="185" t="s">
        <v>138</v>
      </c>
      <c r="AU6" s="185" t="s">
        <v>138</v>
      </c>
      <c r="AV6" s="185" t="s">
        <v>138</v>
      </c>
      <c r="AW6" s="42" t="s">
        <v>139</v>
      </c>
      <c r="AX6" s="42" t="s">
        <v>138</v>
      </c>
      <c r="AY6" s="42" t="s">
        <v>138</v>
      </c>
      <c r="AZ6" s="42" t="s">
        <v>138</v>
      </c>
      <c r="BA6" s="42" t="s">
        <v>138</v>
      </c>
      <c r="BB6" s="41">
        <v>4</v>
      </c>
      <c r="BC6" s="41">
        <v>59</v>
      </c>
      <c r="BD6" s="42" t="s">
        <v>138</v>
      </c>
      <c r="BE6" s="42" t="s">
        <v>138</v>
      </c>
      <c r="BF6" s="166" t="s">
        <v>138</v>
      </c>
      <c r="BG6" s="42" t="s">
        <v>138</v>
      </c>
      <c r="BH6" s="327">
        <f t="shared" si="1"/>
        <v>0.12323988982418205</v>
      </c>
      <c r="BI6" s="327">
        <f t="shared" si="1"/>
        <v>-0.10371990797798045</v>
      </c>
      <c r="BJ6" s="327">
        <f t="shared" si="1"/>
        <v>-0.10371990797798045</v>
      </c>
      <c r="BK6" s="327">
        <v>1896.2</v>
      </c>
      <c r="BL6" s="327">
        <v>3296.47</v>
      </c>
      <c r="BM6" s="327">
        <v>3296.47</v>
      </c>
      <c r="BN6" s="327">
        <v>56886</v>
      </c>
      <c r="BO6" s="327">
        <v>98894</v>
      </c>
      <c r="BP6" s="327">
        <v>98894</v>
      </c>
      <c r="BQ6" s="327" t="s">
        <v>1522</v>
      </c>
      <c r="BR6" s="327" t="s">
        <v>1170</v>
      </c>
    </row>
    <row r="7" spans="1:70" s="43" customFormat="1">
      <c r="A7" s="67" t="s">
        <v>786</v>
      </c>
      <c r="B7" s="71" t="s">
        <v>787</v>
      </c>
      <c r="C7" s="71" t="s">
        <v>491</v>
      </c>
      <c r="D7" s="72" t="s">
        <v>1523</v>
      </c>
      <c r="E7" s="57" t="s">
        <v>481</v>
      </c>
      <c r="F7" s="57" t="s">
        <v>482</v>
      </c>
      <c r="G7" s="86" t="s">
        <v>138</v>
      </c>
      <c r="H7" s="86" t="s">
        <v>138</v>
      </c>
      <c r="I7" s="73">
        <v>3.6</v>
      </c>
      <c r="J7" s="73">
        <v>67</v>
      </c>
      <c r="K7" s="73">
        <v>30</v>
      </c>
      <c r="L7" s="85" t="s">
        <v>138</v>
      </c>
      <c r="M7" s="87">
        <v>0.67100000000000004</v>
      </c>
      <c r="N7" s="87">
        <v>0.39600000000000002</v>
      </c>
      <c r="O7" s="57" t="s">
        <v>141</v>
      </c>
      <c r="P7" s="57">
        <v>9</v>
      </c>
      <c r="Q7" s="57" t="s">
        <v>1017</v>
      </c>
      <c r="R7" s="57">
        <v>30</v>
      </c>
      <c r="S7" s="254" t="s">
        <v>1524</v>
      </c>
      <c r="T7" s="206" t="s">
        <v>1525</v>
      </c>
      <c r="U7" s="57" t="s">
        <v>141</v>
      </c>
      <c r="V7" s="206" t="s">
        <v>1526</v>
      </c>
      <c r="W7" s="254" t="s">
        <v>1527</v>
      </c>
      <c r="X7" s="57" t="s">
        <v>141</v>
      </c>
      <c r="Y7" s="206" t="s">
        <v>1528</v>
      </c>
      <c r="Z7" s="254" t="s">
        <v>1529</v>
      </c>
      <c r="AA7" s="57" t="s">
        <v>139</v>
      </c>
      <c r="AB7" s="42" t="s">
        <v>138</v>
      </c>
      <c r="AC7" s="42" t="s">
        <v>138</v>
      </c>
      <c r="AD7" s="57" t="s">
        <v>141</v>
      </c>
      <c r="AE7" s="206" t="s">
        <v>1530</v>
      </c>
      <c r="AF7" s="254" t="s">
        <v>1531</v>
      </c>
      <c r="AG7" s="57" t="s">
        <v>139</v>
      </c>
      <c r="AH7" s="57" t="s">
        <v>138</v>
      </c>
      <c r="AI7" s="57" t="s">
        <v>138</v>
      </c>
      <c r="AJ7" s="57" t="s">
        <v>141</v>
      </c>
      <c r="AK7" s="206" t="s">
        <v>488</v>
      </c>
      <c r="AL7" s="57" t="s">
        <v>139</v>
      </c>
      <c r="AM7" s="57" t="s">
        <v>138</v>
      </c>
      <c r="AN7" s="160">
        <v>1203</v>
      </c>
      <c r="AO7" s="160">
        <v>1962</v>
      </c>
      <c r="AP7" s="160">
        <v>2068</v>
      </c>
      <c r="AQ7" s="160">
        <v>36087</v>
      </c>
      <c r="AR7" s="160">
        <v>58845</v>
      </c>
      <c r="AS7" s="160">
        <v>62051</v>
      </c>
      <c r="AT7" s="185" t="s">
        <v>138</v>
      </c>
      <c r="AU7" s="185" t="s">
        <v>138</v>
      </c>
      <c r="AV7" s="185" t="s">
        <v>138</v>
      </c>
      <c r="AW7" s="57" t="s">
        <v>141</v>
      </c>
      <c r="AX7" s="57" t="s">
        <v>138</v>
      </c>
      <c r="AY7" s="57" t="s">
        <v>138</v>
      </c>
      <c r="AZ7" s="57" t="s">
        <v>1532</v>
      </c>
      <c r="BA7" s="99">
        <v>54290</v>
      </c>
      <c r="BB7" s="73">
        <v>3</v>
      </c>
      <c r="BC7" s="73">
        <v>79</v>
      </c>
      <c r="BD7" s="73">
        <v>26</v>
      </c>
      <c r="BE7" s="57" t="s">
        <v>138</v>
      </c>
      <c r="BF7" s="160" t="s">
        <v>138</v>
      </c>
      <c r="BG7" s="57" t="s">
        <v>138</v>
      </c>
      <c r="BH7" s="340">
        <f t="shared" si="1"/>
        <v>1.3730296095810052E-2</v>
      </c>
      <c r="BI7" s="340">
        <f t="shared" si="1"/>
        <v>-0.19822683632688687</v>
      </c>
      <c r="BJ7" s="340">
        <f t="shared" si="1"/>
        <v>-0.22116714710265861</v>
      </c>
      <c r="BK7" s="327" t="s">
        <v>1151</v>
      </c>
      <c r="BL7" s="327" t="s">
        <v>1151</v>
      </c>
      <c r="BM7" s="327" t="s">
        <v>1151</v>
      </c>
      <c r="BN7" s="327">
        <v>38000</v>
      </c>
      <c r="BO7" s="327">
        <v>62000</v>
      </c>
      <c r="BP7" s="327">
        <v>66000</v>
      </c>
      <c r="BQ7" s="327" t="s">
        <v>1533</v>
      </c>
      <c r="BR7" s="327" t="s">
        <v>1075</v>
      </c>
    </row>
    <row r="8" spans="1:70" s="43" customFormat="1">
      <c r="A8" s="88" t="s">
        <v>831</v>
      </c>
      <c r="B8" s="71" t="s">
        <v>1534</v>
      </c>
      <c r="C8" s="71" t="s">
        <v>1535</v>
      </c>
      <c r="D8" s="72" t="s">
        <v>1536</v>
      </c>
      <c r="E8" s="57" t="s">
        <v>1537</v>
      </c>
      <c r="F8" s="57" t="s">
        <v>161</v>
      </c>
      <c r="G8" s="57" t="s">
        <v>138</v>
      </c>
      <c r="H8" s="57" t="s">
        <v>138</v>
      </c>
      <c r="I8" s="73">
        <v>3.6</v>
      </c>
      <c r="J8" s="73">
        <v>51</v>
      </c>
      <c r="K8" s="73">
        <v>27</v>
      </c>
      <c r="L8" s="85" t="s">
        <v>138</v>
      </c>
      <c r="M8" s="74">
        <v>0.75</v>
      </c>
      <c r="N8" s="87">
        <v>0.441</v>
      </c>
      <c r="O8" s="57" t="s">
        <v>141</v>
      </c>
      <c r="P8" s="57" t="s">
        <v>1538</v>
      </c>
      <c r="Q8" s="57" t="s">
        <v>1408</v>
      </c>
      <c r="R8" s="57">
        <v>36</v>
      </c>
      <c r="S8" s="254" t="s">
        <v>1539</v>
      </c>
      <c r="T8" s="206" t="s">
        <v>1540</v>
      </c>
      <c r="U8" s="57" t="s">
        <v>141</v>
      </c>
      <c r="V8" s="206" t="s">
        <v>1541</v>
      </c>
      <c r="W8" s="254" t="s">
        <v>1542</v>
      </c>
      <c r="X8" s="57" t="s">
        <v>141</v>
      </c>
      <c r="Y8" s="206" t="s">
        <v>1543</v>
      </c>
      <c r="Z8" s="254" t="s">
        <v>1544</v>
      </c>
      <c r="AA8" s="57" t="s">
        <v>139</v>
      </c>
      <c r="AB8" s="42" t="s">
        <v>138</v>
      </c>
      <c r="AC8" s="42" t="s">
        <v>138</v>
      </c>
      <c r="AD8" s="57" t="s">
        <v>141</v>
      </c>
      <c r="AE8" s="206" t="s">
        <v>1545</v>
      </c>
      <c r="AF8" s="254" t="s">
        <v>1546</v>
      </c>
      <c r="AG8" s="57" t="s">
        <v>141</v>
      </c>
      <c r="AH8" s="206" t="s">
        <v>1545</v>
      </c>
      <c r="AI8" s="254" t="s">
        <v>1547</v>
      </c>
      <c r="AJ8" s="57" t="s">
        <v>141</v>
      </c>
      <c r="AK8" s="278" t="s">
        <v>1548</v>
      </c>
      <c r="AL8" s="57" t="s">
        <v>139</v>
      </c>
      <c r="AM8" s="57" t="s">
        <v>138</v>
      </c>
      <c r="AN8" s="160">
        <v>859.25</v>
      </c>
      <c r="AO8" s="160">
        <v>1622</v>
      </c>
      <c r="AP8" s="160">
        <v>1622</v>
      </c>
      <c r="AQ8" s="160">
        <v>30933</v>
      </c>
      <c r="AR8" s="160">
        <v>58398</v>
      </c>
      <c r="AS8" s="160">
        <v>58398</v>
      </c>
      <c r="AT8" s="185">
        <f t="shared" si="2"/>
        <v>4.1243999999999996</v>
      </c>
      <c r="AU8" s="185">
        <f t="shared" si="3"/>
        <v>7.7864000000000004</v>
      </c>
      <c r="AV8" s="185">
        <f t="shared" si="4"/>
        <v>7.7864000000000004</v>
      </c>
      <c r="AW8" s="57" t="s">
        <v>141</v>
      </c>
      <c r="AX8" s="57" t="s">
        <v>138</v>
      </c>
      <c r="AY8" s="57" t="s">
        <v>138</v>
      </c>
      <c r="AZ8" s="57" t="s">
        <v>1239</v>
      </c>
      <c r="BA8" s="99">
        <v>49347</v>
      </c>
      <c r="BB8" s="57"/>
      <c r="BC8" s="73">
        <v>25</v>
      </c>
      <c r="BD8" s="73">
        <v>32</v>
      </c>
      <c r="BE8" s="57" t="s">
        <v>138</v>
      </c>
      <c r="BF8" s="160">
        <v>90000</v>
      </c>
      <c r="BG8" s="133" t="s">
        <v>138</v>
      </c>
      <c r="BH8" s="71">
        <f t="shared" si="1"/>
        <v>7.8286978117702299E-2</v>
      </c>
      <c r="BI8" s="71">
        <f t="shared" si="1"/>
        <v>-0.19492057049023045</v>
      </c>
      <c r="BJ8" s="71">
        <f t="shared" si="1"/>
        <v>-0.19492057049023045</v>
      </c>
      <c r="BK8" s="327">
        <v>1000</v>
      </c>
      <c r="BL8" s="327">
        <v>1000</v>
      </c>
      <c r="BM8" s="327">
        <v>1000</v>
      </c>
      <c r="BN8" s="327">
        <v>36000</v>
      </c>
      <c r="BO8" s="327">
        <v>36000</v>
      </c>
      <c r="BP8" s="327">
        <v>36000</v>
      </c>
      <c r="BQ8" s="327" t="s">
        <v>1549</v>
      </c>
      <c r="BR8" s="327" t="s">
        <v>1075</v>
      </c>
    </row>
    <row r="9" spans="1:70">
      <c r="BH9" s="37"/>
      <c r="BI9" s="37"/>
      <c r="BJ9" s="37"/>
    </row>
  </sheetData>
  <hyperlinks>
    <hyperlink ref="D7" r:id="rId1" xr:uid="{50797ACF-7749-433B-A056-74FC3B34CF93}"/>
    <hyperlink ref="D3" r:id="rId2" xr:uid="{A9C722AB-6AAC-49E8-AA26-CFDDA23E01B0}"/>
    <hyperlink ref="D4" r:id="rId3" xr:uid="{2E5F6712-E8E0-4CF6-AB82-65E953EEBF25}"/>
    <hyperlink ref="D5" r:id="rId4" xr:uid="{966570B4-3AAD-40E1-A285-41B27E5C23D8}"/>
    <hyperlink ref="D6" r:id="rId5" xr:uid="{9A2FD8B0-2EF3-4BB4-9080-471530583DFF}"/>
    <hyperlink ref="D2" r:id="rId6" xr:uid="{393BC002-F417-4B00-9CC1-A21228F73188}"/>
    <hyperlink ref="T7" r:id="rId7" xr:uid="{93201E16-336E-4F2D-B5C8-DB034BCB0123}"/>
    <hyperlink ref="T6" r:id="rId8" xr:uid="{A8AF4A4B-1EA2-4D74-9501-87C54BF7FA14}"/>
    <hyperlink ref="AE4" r:id="rId9" location=":~:text=Learn%20more-,Real%2Dworld%20experience,-Gaining%20real%2Dworld" xr:uid="{E54D4F2D-8FBF-4802-8145-1BD3A41D2EA2}"/>
    <hyperlink ref="AD4" r:id="rId10" xr:uid="{612E8474-1813-4144-8A36-6E3897F47748}"/>
    <hyperlink ref="T4" r:id="rId11" location="curriculum" xr:uid="{1217446C-BF17-46D5-A1FC-21EC47C42230}"/>
    <hyperlink ref="I4" r:id="rId12" display="3.4" xr:uid="{A63FA5EA-6F88-4303-9C7E-788359BCA715}"/>
    <hyperlink ref="G4" r:id="rId13" display="705" xr:uid="{5FEFCFDB-22D0-4E99-B0A0-7108BB2C7D7B}"/>
    <hyperlink ref="K4" r:id="rId14" display="23" xr:uid="{C7E53652-8E58-4C9F-A2C9-D12AC9C55DA2}"/>
    <hyperlink ref="J2" r:id="rId15" xr:uid="{9C5555B3-3DD2-45EA-A273-DDD6916D3514}"/>
    <hyperlink ref="I2" r:id="rId16" display="3.56" xr:uid="{CEDA31DF-6BDC-435C-8C94-70750B8C797F}"/>
    <hyperlink ref="N2" r:id="rId17" display="31%" xr:uid="{D48DC76F-C381-4EBB-9484-2AD88EEB2A2F}"/>
    <hyperlink ref="BF2" r:id="rId18" display="88500" xr:uid="{CC76A79B-BF76-4687-8BDE-E5A4DAD4C7DB}"/>
    <hyperlink ref="BE2" r:id="rId19" display="81" xr:uid="{C2C5300A-CB15-4C61-8856-CCD29A95B472}"/>
    <hyperlink ref="T2" r:id="rId20" xr:uid="{583C8027-3296-4CD7-BA01-2CB4DA248A59}"/>
    <hyperlink ref="L5" r:id="rId21" xr:uid="{15AE5DBF-7987-4CA2-B77C-8436451EB072}"/>
    <hyperlink ref="I5" r:id="rId22" display="3.5" xr:uid="{0FE2E14E-CAA7-4508-805F-B2049BB70E04}"/>
    <hyperlink ref="O5" r:id="rId23" xr:uid="{0F5E9C2F-A946-4B61-AE2C-4D1F7A89FA5F}"/>
    <hyperlink ref="P5" r:id="rId24" xr:uid="{F17FBFD3-47DD-47F4-910E-67220C66184B}"/>
    <hyperlink ref="Q5" r:id="rId25" xr:uid="{DE46D500-8BF5-4979-8ACE-A9E6D3152146}"/>
    <hyperlink ref="T5" r:id="rId26" location=":~:text=practicing%20project%20management.-,CURRICULUM,-WHAT%20YOU%E2%80%99LL%20LEARN" xr:uid="{D66E1122-4D1C-421D-871A-35444C1FFBBB}"/>
    <hyperlink ref="D8" r:id="rId27" xr:uid="{6BCB4CA3-56DE-4B48-9F1F-1440C43F4824}"/>
    <hyperlink ref="V2" r:id="rId28" xr:uid="{83384AFE-AE16-4921-96C9-3ADB21663E53}"/>
    <hyperlink ref="Y2" r:id="rId29" xr:uid="{8D1F762A-3317-426D-AD03-BFBBA5B242A3}"/>
    <hyperlink ref="AB2" r:id="rId30" xr:uid="{F84AF295-0F69-4BE7-9E99-6315E9066D2A}"/>
    <hyperlink ref="AE2" r:id="rId31" xr:uid="{1ECCD577-E8F3-418B-A073-7E36E2673A12}"/>
    <hyperlink ref="AH2" r:id="rId32" xr:uid="{5160FF55-16D3-46DD-AA1D-CD5D08484AD1}"/>
    <hyperlink ref="AK2" r:id="rId33" location=":~:text=BUSINESS%20CAREER%20SERVICES" xr:uid="{EE85DAE6-3654-4166-8B0E-060809E371C8}"/>
    <hyperlink ref="BD2" r:id="rId34" display="15" xr:uid="{9A0479BC-9D35-43CD-868A-19F54F8DA451}"/>
    <hyperlink ref="BE3" r:id="rId35" display="84.40%" xr:uid="{41C294BA-FBC3-4EA4-80CD-ABC18D4D7E2F}"/>
    <hyperlink ref="I3" r:id="rId36" display="3.5" xr:uid="{FFEB87AA-BD89-4468-9D01-E4C70456FDE5}"/>
    <hyperlink ref="T3" r:id="rId37" xr:uid="{0480EC8C-342B-49A8-8C16-CDCC9DB13A9E}"/>
    <hyperlink ref="V3" r:id="rId38" xr:uid="{565D4A80-F30F-4526-9548-910328EA4C1E}"/>
    <hyperlink ref="AE3" r:id="rId39" xr:uid="{DFA28589-FAB5-44C8-B594-B7F63D643A0D}"/>
    <hyperlink ref="H4" r:id="rId40" xr:uid="{DA891322-EB48-40DE-A546-9D51F37AB819}"/>
    <hyperlink ref="L4" r:id="rId41" display="50" xr:uid="{45021904-88CA-41BD-8B86-F1B57A28FF53}"/>
    <hyperlink ref="M4:N4" r:id="rId42" display="96.20%" xr:uid="{BBE53290-518E-4789-BD29-4FCE879CB92D}"/>
    <hyperlink ref="J4" r:id="rId43" display="53" xr:uid="{4EA7334B-706C-4B4D-868B-E326E60180E8}"/>
    <hyperlink ref="AK4" r:id="rId44" location=":~:text=Career%20coaching&amp;text=Your%20coach%20provides%20individualized%20mentoring,career%20coaching%20as%20an%20alum" xr:uid="{B8453056-8C13-4803-962B-80A3CDA57F90}"/>
    <hyperlink ref="BB2" r:id="rId45" display="11" xr:uid="{6FD7DD08-E76C-4B80-A803-ED96E0A0D86D}"/>
    <hyperlink ref="BB3" r:id="rId46" display="2" xr:uid="{FDD541AB-EFC1-4BBE-B90A-6F758833C748}"/>
    <hyperlink ref="BB5" r:id="rId47" display="6" xr:uid="{718C76B8-4BDD-4F95-AAD6-FC54F125D3DC}"/>
    <hyperlink ref="BB6" r:id="rId48" display="4" xr:uid="{9ABF522D-9DE1-471D-AE88-9A05EC26AC7E}"/>
    <hyperlink ref="BB7" r:id="rId49" display="3" xr:uid="{F09FA967-799F-4B02-8BCF-6C47A177DDF9}"/>
    <hyperlink ref="BC2" r:id="rId50" display="10" xr:uid="{6AD54E8F-B264-4A08-AF17-D324CC014F4B}"/>
    <hyperlink ref="BC7" r:id="rId51" display="79" xr:uid="{B5D2CAB3-37D5-4B2C-9562-7D915D7B6756}"/>
    <hyperlink ref="BC6" r:id="rId52" location=":~:text=View%20details-,Supply%20Chain%20and%20Logistics,-Penn%20State%20Smeal" display="59" xr:uid="{DE13ADF8-D966-4E4A-9C8D-AAEFD55F611A}"/>
    <hyperlink ref="BD4" r:id="rId53" display="37" xr:uid="{C9A641CF-BAD6-4897-9CBF-93B750E8EC16}"/>
    <hyperlink ref="BD7" r:id="rId54" display="26" xr:uid="{B6F632F2-491E-496E-891E-5455E0BA27DF}"/>
    <hyperlink ref="V5" r:id="rId55" xr:uid="{222E6ACB-E33E-48EB-B041-8A3A51C7ED40}"/>
    <hyperlink ref="Y5" r:id="rId56" location="learn" xr:uid="{443DD02F-1244-4A71-999C-F520FFA48556}"/>
    <hyperlink ref="AB5" r:id="rId57" location="learn" xr:uid="{77FBAA44-E02B-4D5E-B8D5-9830E15DFD99}"/>
    <hyperlink ref="AE5" r:id="rId58" xr:uid="{8C77516E-8CE6-495C-9E6F-80A9AE6F1E27}"/>
    <hyperlink ref="AK5" r:id="rId59" xr:uid="{7EF2A3DB-71C6-4603-AADA-0EB51921FA23}"/>
    <hyperlink ref="J5" r:id="rId60" display="36" xr:uid="{53969C26-5EDD-4C98-8F41-6D4D37AED6C9}"/>
    <hyperlink ref="K5:N5" r:id="rId61" display="NA" xr:uid="{A50AB266-5770-48E0-A6C8-18ADE524D386}"/>
    <hyperlink ref="V6" r:id="rId62" xr:uid="{DB7E5E7A-D9C1-411B-9881-04D0B6686682}"/>
    <hyperlink ref="Y6" r:id="rId63" xr:uid="{55E04D0B-0517-4FAE-8F0A-5DF8A6CD828B}"/>
    <hyperlink ref="AE6" r:id="rId64" xr:uid="{D9BEE510-6641-4F76-A1EC-3F5F48C4C687}"/>
    <hyperlink ref="BC8" r:id="rId65" display="25" xr:uid="{58303020-3417-4A95-AF29-31460C01C5EC}"/>
    <hyperlink ref="AM3" r:id="rId66" xr:uid="{6677FB36-B8D5-4AD6-A8CA-7874126D27A9}"/>
    <hyperlink ref="AK6" r:id="rId67" xr:uid="{DDBC2DB3-D1AF-4E0A-8936-989F2216DABC}"/>
    <hyperlink ref="AH3" r:id="rId68" xr:uid="{27BB1637-5F39-4FDE-BAE1-0D11FF1273DD}"/>
    <hyperlink ref="AK3" r:id="rId69" xr:uid="{9ED50B96-5F99-4C65-A9E8-F427BE3E644C}"/>
    <hyperlink ref="I6" r:id="rId70" display="3.37" xr:uid="{8947B33A-3157-4320-BEBF-89F6DE344A74}"/>
    <hyperlink ref="L6:N6" r:id="rId71" display="27" xr:uid="{A88A2C46-3040-4399-BAC2-39BF2C05DD4F}"/>
    <hyperlink ref="BE4:BF4" r:id="rId72" display="67%" xr:uid="{EEBE9150-3764-48D0-96C6-3EF644EDCCE6}"/>
    <hyperlink ref="BE5" r:id="rId73" display="95%" xr:uid="{AFC02F2B-2945-4232-A3CA-6DF48F66A06E}"/>
    <hyperlink ref="V7" r:id="rId74" location="life" xr:uid="{12EA5F91-3529-468F-A0DF-21E48B08916D}"/>
    <hyperlink ref="K8:N8" r:id="rId75" display="27" xr:uid="{0A441C69-1CC0-4AA3-A995-BA16BCD8DD40}"/>
    <hyperlink ref="J8" r:id="rId76" display="51" xr:uid="{7E63DB82-714E-45A8-92C0-BF433570807A}"/>
    <hyperlink ref="I8" r:id="rId77" display="3.6" xr:uid="{8030040E-FE7D-4B4D-B3BD-CC07C04BB455}"/>
    <hyperlink ref="I7:N7" r:id="rId78" display="3.6" xr:uid="{16440063-14DC-415F-BB73-24DE148D5111}"/>
    <hyperlink ref="T8" r:id="rId79" xr:uid="{24903B3A-8281-41B8-BB11-98148D3D01E9}"/>
    <hyperlink ref="V8" r:id="rId80" xr:uid="{C10734C6-3877-4139-B3A6-86218BF12989}"/>
    <hyperlink ref="Y8" r:id="rId81" xr:uid="{D6167A46-2574-4307-AC3C-938568536948}"/>
    <hyperlink ref="Y7" r:id="rId82" xr:uid="{A1B4B570-C394-4482-A05B-3C9674A95665}"/>
    <hyperlink ref="AE7" r:id="rId83" xr:uid="{D4E90B47-4337-4B5E-BB36-01CAD718CC58}"/>
    <hyperlink ref="AE8" r:id="rId84" xr:uid="{E85BB9C8-3BB8-426A-A4F8-B9F06FD9D312}"/>
    <hyperlink ref="AH8" r:id="rId85" xr:uid="{0B28DCBF-DF8B-4915-BA1E-492907D45708}"/>
    <hyperlink ref="AK7" r:id="rId86" xr:uid="{9AA9D4DE-4E48-4E31-987F-97B64CF00C9B}"/>
    <hyperlink ref="AK8" r:id="rId87" xr:uid="{FA882609-96FA-4F6A-9121-F0E18778FC6F}"/>
    <hyperlink ref="BD8" r:id="rId88" display="32" xr:uid="{D74FD7C0-16BF-47A1-AC24-7537B3ABC373}"/>
  </hyperlinks>
  <pageMargins left="0.7" right="0.7" top="0.75" bottom="0.75" header="0.3" footer="0.3"/>
  <legacyDrawing r:id="rId8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EDB5-F7BA-4D8B-B307-F40105D21282}">
  <sheetPr>
    <tabColor rgb="FFFFFF00"/>
  </sheetPr>
  <dimension ref="A1:BP23"/>
  <sheetViews>
    <sheetView zoomScale="125" workbookViewId="0">
      <pane xSplit="1" ySplit="1" topLeftCell="BF2" activePane="bottomRight" state="frozen"/>
      <selection pane="bottomRight" activeCell="BQ16" sqref="BQ16"/>
      <selection pane="bottomLeft" activeCell="A2" sqref="A2"/>
      <selection pane="topRight"/>
    </sheetView>
  </sheetViews>
  <sheetFormatPr defaultColWidth="26.140625" defaultRowHeight="15" customHeight="1"/>
  <cols>
    <col min="1" max="1" width="52.140625" style="25" customWidth="1"/>
    <col min="2" max="2" width="35.7109375" style="25" customWidth="1"/>
    <col min="3" max="3" width="32.85546875" style="25" customWidth="1"/>
    <col min="4" max="4" width="52.140625" style="25" customWidth="1"/>
    <col min="5" max="6" width="26.140625" style="25"/>
    <col min="7" max="7" width="14.42578125" style="25" bestFit="1" customWidth="1"/>
    <col min="8" max="8" width="15.85546875" style="25" customWidth="1"/>
    <col min="9" max="9" width="26.85546875" style="25" bestFit="1" customWidth="1"/>
    <col min="10" max="11" width="26.140625" style="25"/>
    <col min="12" max="12" width="9.42578125" style="25" bestFit="1" customWidth="1"/>
    <col min="13" max="13" width="14.42578125" style="25" bestFit="1" customWidth="1"/>
    <col min="14" max="14" width="9.42578125" style="25" bestFit="1" customWidth="1"/>
    <col min="15" max="18" width="26.140625" style="25"/>
    <col min="19" max="19" width="46.42578125" style="25" customWidth="1"/>
    <col min="20" max="20" width="47.7109375" style="25" customWidth="1"/>
    <col min="21" max="22" width="26.140625" style="25"/>
    <col min="23" max="23" width="40.42578125" style="25" customWidth="1"/>
    <col min="24" max="24" width="26.140625" style="25"/>
    <col min="25" max="25" width="46.28515625" style="25" customWidth="1"/>
    <col min="26" max="28" width="26.140625" style="25"/>
    <col min="29" max="29" width="42.42578125" style="25" customWidth="1"/>
    <col min="30" max="32" width="26.140625" style="25"/>
    <col min="33" max="33" width="24.140625" style="25" bestFit="1" customWidth="1"/>
    <col min="34" max="34" width="28.42578125" style="25" bestFit="1" customWidth="1"/>
    <col min="35" max="35" width="28.85546875" style="25" bestFit="1" customWidth="1"/>
    <col min="36" max="36" width="19.7109375" style="25" bestFit="1" customWidth="1"/>
    <col min="37" max="37" width="24" style="25" bestFit="1" customWidth="1"/>
    <col min="38" max="38" width="24.42578125" style="25" bestFit="1" customWidth="1"/>
    <col min="39" max="39" width="37.7109375" style="25" bestFit="1" customWidth="1"/>
    <col min="40" max="40" width="41.85546875" style="25" bestFit="1" customWidth="1"/>
    <col min="41" max="44" width="26.140625" style="25"/>
    <col min="45" max="45" width="33.85546875" style="25" customWidth="1"/>
    <col min="46" max="52" width="26.140625" style="25"/>
    <col min="53" max="55" width="26.140625" style="343"/>
    <col min="56" max="16384" width="26.140625" style="25"/>
  </cols>
  <sheetData>
    <row r="1" spans="1:68" s="58" customFormat="1" ht="15" customHeight="1">
      <c r="A1" s="141" t="s">
        <v>4</v>
      </c>
      <c r="B1" s="141" t="s">
        <v>117</v>
      </c>
      <c r="C1" s="152" t="s">
        <v>7</v>
      </c>
      <c r="D1" s="141" t="s">
        <v>11</v>
      </c>
      <c r="E1" s="141" t="s">
        <v>82</v>
      </c>
      <c r="F1" s="141" t="s">
        <v>83</v>
      </c>
      <c r="G1" s="141" t="s">
        <v>84</v>
      </c>
      <c r="H1" s="141" t="s">
        <v>85</v>
      </c>
      <c r="I1" s="141" t="s">
        <v>14</v>
      </c>
      <c r="J1" s="141" t="s">
        <v>86</v>
      </c>
      <c r="K1" s="141" t="s">
        <v>20</v>
      </c>
      <c r="L1" s="141" t="s">
        <v>21</v>
      </c>
      <c r="M1" s="141" t="s">
        <v>25</v>
      </c>
      <c r="N1" s="141" t="s">
        <v>27</v>
      </c>
      <c r="O1" s="141" t="s">
        <v>28</v>
      </c>
      <c r="P1" s="91" t="s">
        <v>30</v>
      </c>
      <c r="Q1" s="141" t="s">
        <v>118</v>
      </c>
      <c r="R1" s="141" t="s">
        <v>38</v>
      </c>
      <c r="S1" s="141" t="s">
        <v>119</v>
      </c>
      <c r="T1" s="141" t="s">
        <v>952</v>
      </c>
      <c r="U1" s="141" t="s">
        <v>953</v>
      </c>
      <c r="V1" s="141" t="s">
        <v>954</v>
      </c>
      <c r="W1" s="141" t="s">
        <v>955</v>
      </c>
      <c r="X1" s="141" t="s">
        <v>956</v>
      </c>
      <c r="Y1" s="141" t="s">
        <v>957</v>
      </c>
      <c r="Z1" s="141" t="s">
        <v>958</v>
      </c>
      <c r="AA1" s="141" t="s">
        <v>959</v>
      </c>
      <c r="AB1" s="141" t="s">
        <v>960</v>
      </c>
      <c r="AC1" s="141" t="s">
        <v>961</v>
      </c>
      <c r="AD1" s="141" t="s">
        <v>87</v>
      </c>
      <c r="AE1" s="153" t="s">
        <v>88</v>
      </c>
      <c r="AF1" s="153" t="s">
        <v>89</v>
      </c>
      <c r="AG1" s="141" t="s">
        <v>94</v>
      </c>
      <c r="AH1" s="141" t="s">
        <v>95</v>
      </c>
      <c r="AI1" s="141" t="s">
        <v>96</v>
      </c>
      <c r="AJ1" s="141" t="s">
        <v>97</v>
      </c>
      <c r="AK1" s="141" t="s">
        <v>98</v>
      </c>
      <c r="AL1" s="141" t="s">
        <v>99</v>
      </c>
      <c r="AM1" s="141" t="s">
        <v>126</v>
      </c>
      <c r="AN1" s="141" t="s">
        <v>127</v>
      </c>
      <c r="AO1" s="141" t="s">
        <v>128</v>
      </c>
      <c r="AP1" s="141" t="s">
        <v>968</v>
      </c>
      <c r="AQ1" s="141" t="s">
        <v>68</v>
      </c>
      <c r="AR1" s="141" t="s">
        <v>70</v>
      </c>
      <c r="AS1" s="141" t="s">
        <v>74</v>
      </c>
      <c r="AT1" s="141" t="s">
        <v>76</v>
      </c>
      <c r="AU1" s="141" t="s">
        <v>62</v>
      </c>
      <c r="AV1" s="141" t="s">
        <v>64</v>
      </c>
      <c r="AW1" s="141" t="s">
        <v>101</v>
      </c>
      <c r="AX1" s="141" t="s">
        <v>102</v>
      </c>
      <c r="AY1" s="141" t="s">
        <v>69</v>
      </c>
      <c r="AZ1" s="141" t="s">
        <v>71</v>
      </c>
      <c r="BA1" s="379" t="s">
        <v>969</v>
      </c>
      <c r="BB1" s="379" t="s">
        <v>970</v>
      </c>
      <c r="BC1" s="379" t="s">
        <v>971</v>
      </c>
      <c r="BD1" s="58" t="s">
        <v>1550</v>
      </c>
      <c r="BE1" s="379" t="s">
        <v>1551</v>
      </c>
      <c r="BF1" s="379" t="s">
        <v>1552</v>
      </c>
      <c r="BG1" s="379" t="s">
        <v>1553</v>
      </c>
      <c r="BH1" s="379" t="s">
        <v>1055</v>
      </c>
      <c r="BI1" s="379" t="s">
        <v>1056</v>
      </c>
      <c r="BJ1" s="379" t="s">
        <v>1057</v>
      </c>
      <c r="BK1" s="379" t="s">
        <v>1058</v>
      </c>
      <c r="BL1" s="379" t="s">
        <v>1059</v>
      </c>
      <c r="BM1" s="379" t="s">
        <v>1060</v>
      </c>
      <c r="BN1" s="379" t="s">
        <v>1061</v>
      </c>
      <c r="BO1" s="379" t="s">
        <v>1062</v>
      </c>
      <c r="BP1" s="379"/>
    </row>
    <row r="2" spans="1:68" s="52" customFormat="1" ht="15" customHeight="1">
      <c r="A2" s="141" t="s">
        <v>132</v>
      </c>
      <c r="B2" s="57" t="s">
        <v>133</v>
      </c>
      <c r="C2" s="139" t="s">
        <v>1554</v>
      </c>
      <c r="D2" s="73" t="s">
        <v>1555</v>
      </c>
      <c r="E2" s="57" t="s">
        <v>136</v>
      </c>
      <c r="F2" s="42" t="s">
        <v>137</v>
      </c>
      <c r="G2" s="42" t="s">
        <v>138</v>
      </c>
      <c r="H2" s="42" t="s">
        <v>138</v>
      </c>
      <c r="I2" s="250">
        <v>3.2</v>
      </c>
      <c r="J2" s="250" t="s">
        <v>138</v>
      </c>
      <c r="K2" s="42" t="s">
        <v>138</v>
      </c>
      <c r="L2" s="79" t="s">
        <v>138</v>
      </c>
      <c r="M2" s="42" t="s">
        <v>138</v>
      </c>
      <c r="N2" s="54">
        <v>0.68</v>
      </c>
      <c r="O2" s="42" t="s">
        <v>141</v>
      </c>
      <c r="P2" s="92" t="s">
        <v>1556</v>
      </c>
      <c r="Q2" s="42" t="s">
        <v>1557</v>
      </c>
      <c r="R2" s="42">
        <v>33</v>
      </c>
      <c r="S2" s="42" t="s">
        <v>1558</v>
      </c>
      <c r="T2" s="46" t="s">
        <v>1559</v>
      </c>
      <c r="U2" s="42" t="s">
        <v>141</v>
      </c>
      <c r="V2" s="109" t="s">
        <v>138</v>
      </c>
      <c r="W2" s="83" t="s">
        <v>1560</v>
      </c>
      <c r="X2" s="83" t="s">
        <v>138</v>
      </c>
      <c r="Y2" s="380" t="s">
        <v>1561</v>
      </c>
      <c r="Z2" s="83" t="s">
        <v>138</v>
      </c>
      <c r="AA2" s="83" t="s">
        <v>138</v>
      </c>
      <c r="AB2" s="276" t="s">
        <v>138</v>
      </c>
      <c r="AC2" s="83" t="s">
        <v>138</v>
      </c>
      <c r="AD2" s="42" t="s">
        <v>141</v>
      </c>
      <c r="AE2" s="250" t="s">
        <v>138</v>
      </c>
      <c r="AF2" s="79" t="s">
        <v>1562</v>
      </c>
      <c r="AG2" s="99">
        <f>AJ2/R2</f>
        <v>685</v>
      </c>
      <c r="AH2" s="99">
        <f>AK2/R2</f>
        <v>950</v>
      </c>
      <c r="AI2" s="99">
        <f>AL2/R2</f>
        <v>1367</v>
      </c>
      <c r="AJ2" s="105">
        <v>22605</v>
      </c>
      <c r="AK2" s="105">
        <v>31350</v>
      </c>
      <c r="AL2" s="84" t="s">
        <v>1563</v>
      </c>
      <c r="AM2" s="138">
        <f>(AJ2/(SUM(AY2:AZ2)))*12</f>
        <v>3.0859366112261379</v>
      </c>
      <c r="AN2" s="138">
        <f>(AK2/(SUM(AY2:AZ2)))*12</f>
        <v>4.2797661031603376</v>
      </c>
      <c r="AO2" s="138">
        <f>(AL2/(SUM(AY2:AZ2)))*12</f>
        <v>6.1583581716001907</v>
      </c>
      <c r="AP2" s="42" t="s">
        <v>141</v>
      </c>
      <c r="AQ2" s="42" t="s">
        <v>138</v>
      </c>
      <c r="AR2" s="42" t="s">
        <v>138</v>
      </c>
      <c r="AS2" s="42" t="s">
        <v>138</v>
      </c>
      <c r="AT2" s="166">
        <v>50000</v>
      </c>
      <c r="AU2" s="42" t="s">
        <v>138</v>
      </c>
      <c r="AV2" s="46" t="s">
        <v>1564</v>
      </c>
      <c r="AW2" s="46" t="s">
        <v>1565</v>
      </c>
      <c r="AX2" s="53">
        <v>0.83</v>
      </c>
      <c r="AY2" s="166">
        <v>87902</v>
      </c>
      <c r="AZ2" s="42" t="s">
        <v>138</v>
      </c>
      <c r="BA2" s="42">
        <f>(AY2-(AJ2+AT2))/(AJ2+AT2)</f>
        <v>0.21068796914813029</v>
      </c>
      <c r="BB2" s="42">
        <f>(AY2-(AK2+AT2))/(AK2+AT2)</f>
        <v>8.0540872771972957E-2</v>
      </c>
      <c r="BC2" s="42">
        <f>(AY2-(AL2+AT2))/(AL2+AT2)</f>
        <v>-7.5795649293982817E-2</v>
      </c>
      <c r="BD2" s="42">
        <f>AY2*5</f>
        <v>439510</v>
      </c>
      <c r="BE2" s="42"/>
      <c r="BF2" s="42"/>
      <c r="BG2" s="42"/>
      <c r="BH2" s="42">
        <v>685</v>
      </c>
      <c r="BI2" s="42">
        <v>950</v>
      </c>
      <c r="BJ2" s="42">
        <v>1367</v>
      </c>
      <c r="BK2" s="42">
        <v>22605</v>
      </c>
      <c r="BL2" s="42">
        <v>31350</v>
      </c>
      <c r="BM2" s="42">
        <v>45111</v>
      </c>
      <c r="BN2" s="42" t="s">
        <v>1566</v>
      </c>
      <c r="BO2" s="42" t="s">
        <v>1075</v>
      </c>
    </row>
    <row r="3" spans="1:68" ht="15" customHeight="1">
      <c r="A3" s="141" t="s">
        <v>282</v>
      </c>
      <c r="B3" s="42" t="s">
        <v>1222</v>
      </c>
      <c r="C3" s="139" t="s">
        <v>1554</v>
      </c>
      <c r="D3" s="46" t="s">
        <v>1567</v>
      </c>
      <c r="E3" s="42" t="s">
        <v>1568</v>
      </c>
      <c r="F3" s="42" t="s">
        <v>1569</v>
      </c>
      <c r="G3" s="46">
        <v>719</v>
      </c>
      <c r="H3" s="46">
        <v>336</v>
      </c>
      <c r="I3" s="46">
        <v>3.54</v>
      </c>
      <c r="J3" s="42" t="s">
        <v>1570</v>
      </c>
      <c r="K3" s="46">
        <v>23</v>
      </c>
      <c r="L3" s="79" t="s">
        <v>138</v>
      </c>
      <c r="M3" s="42" t="s">
        <v>138</v>
      </c>
      <c r="N3" s="54">
        <v>0.62</v>
      </c>
      <c r="O3" s="42" t="s">
        <v>141</v>
      </c>
      <c r="P3" s="42">
        <v>12</v>
      </c>
      <c r="Q3" s="42" t="s">
        <v>1408</v>
      </c>
      <c r="R3" s="42">
        <v>36</v>
      </c>
      <c r="S3" s="42" t="s">
        <v>1571</v>
      </c>
      <c r="T3" s="46" t="s">
        <v>1572</v>
      </c>
      <c r="U3" s="42" t="s">
        <v>141</v>
      </c>
      <c r="V3" s="46" t="s">
        <v>138</v>
      </c>
      <c r="W3" s="42" t="s">
        <v>1573</v>
      </c>
      <c r="X3" s="42" t="s">
        <v>138</v>
      </c>
      <c r="Y3" s="380" t="s">
        <v>1233</v>
      </c>
      <c r="Z3" s="42" t="s">
        <v>138</v>
      </c>
      <c r="AA3" s="42" t="s">
        <v>138</v>
      </c>
      <c r="AB3" s="79" t="s">
        <v>138</v>
      </c>
      <c r="AC3" s="42" t="s">
        <v>138</v>
      </c>
      <c r="AD3" s="42" t="s">
        <v>1574</v>
      </c>
      <c r="AE3" s="250" t="s">
        <v>138</v>
      </c>
      <c r="AF3" s="42" t="s">
        <v>1575</v>
      </c>
      <c r="AG3" s="99">
        <f>AJ3/R3</f>
        <v>2444.4444444444443</v>
      </c>
      <c r="AH3" s="99">
        <f>AK3/R3</f>
        <v>2444.4444444444443</v>
      </c>
      <c r="AI3" s="99">
        <f>AL3/R3</f>
        <v>2444.4444444444443</v>
      </c>
      <c r="AJ3" s="46">
        <v>88000</v>
      </c>
      <c r="AK3" s="46">
        <v>88000</v>
      </c>
      <c r="AL3" s="105">
        <v>88000</v>
      </c>
      <c r="AM3" s="138">
        <f t="shared" ref="AM3:AM9" si="0">(AJ3/(SUM(AY3:AZ3)))*12</f>
        <v>11.733333333333333</v>
      </c>
      <c r="AN3" s="138">
        <f t="shared" ref="AN3:AN9" si="1">(AK3/(SUM(AY3:AZ3)))*12</f>
        <v>11.733333333333333</v>
      </c>
      <c r="AO3" s="138">
        <f t="shared" ref="AO3:AO9" si="2">(AL3/(SUM(AY3:AZ3)))*12</f>
        <v>11.733333333333333</v>
      </c>
      <c r="AP3" s="42" t="s">
        <v>141</v>
      </c>
      <c r="AQ3" s="42" t="s">
        <v>138</v>
      </c>
      <c r="AR3" s="42" t="s">
        <v>138</v>
      </c>
      <c r="AS3" s="42" t="s">
        <v>1576</v>
      </c>
      <c r="AT3" s="148">
        <v>49103</v>
      </c>
      <c r="AU3" s="42" t="s">
        <v>138</v>
      </c>
      <c r="AV3" s="250" t="s">
        <v>138</v>
      </c>
      <c r="AW3" s="46">
        <v>30</v>
      </c>
      <c r="AX3" s="42" t="s">
        <v>138</v>
      </c>
      <c r="AY3" s="166">
        <v>90000</v>
      </c>
      <c r="AZ3" s="42" t="s">
        <v>138</v>
      </c>
      <c r="BA3" s="42">
        <f t="shared" ref="BA3:BA11" si="3">(AY3-(AJ3+AT3))/(AJ3+AT3)</f>
        <v>-0.34355922189886434</v>
      </c>
      <c r="BB3" s="42">
        <f t="shared" ref="BB3:BB11" si="4">(AY3-(AK3+AT3))/(AK3+AT3)</f>
        <v>-0.34355922189886434</v>
      </c>
      <c r="BC3" s="42">
        <f t="shared" ref="BC3:BC11" si="5">(AY3-(AL3+AT3))/(AL3+AT3)</f>
        <v>-0.34355922189886434</v>
      </c>
      <c r="BD3" s="42"/>
      <c r="BE3" s="42"/>
      <c r="BF3" s="42"/>
      <c r="BG3" s="42"/>
      <c r="BH3" s="42">
        <v>1985</v>
      </c>
      <c r="BI3" s="42">
        <v>1985</v>
      </c>
      <c r="BJ3" s="42">
        <v>1985</v>
      </c>
      <c r="BK3" s="42">
        <v>91500</v>
      </c>
      <c r="BL3" s="42">
        <v>91500</v>
      </c>
      <c r="BM3" s="42">
        <v>91500</v>
      </c>
      <c r="BN3" s="42" t="s">
        <v>1577</v>
      </c>
      <c r="BO3" s="42" t="s">
        <v>1075</v>
      </c>
    </row>
    <row r="4" spans="1:68" ht="15" customHeight="1">
      <c r="A4" s="141" t="s">
        <v>1578</v>
      </c>
      <c r="B4" s="42" t="s">
        <v>1579</v>
      </c>
      <c r="C4" s="139" t="s">
        <v>1580</v>
      </c>
      <c r="D4" s="46" t="s">
        <v>1581</v>
      </c>
      <c r="E4" s="42" t="s">
        <v>816</v>
      </c>
      <c r="F4" s="42" t="s">
        <v>679</v>
      </c>
      <c r="G4" s="46" t="s">
        <v>1582</v>
      </c>
      <c r="H4" s="250" t="s">
        <v>138</v>
      </c>
      <c r="I4" s="46" t="s">
        <v>1583</v>
      </c>
      <c r="J4" s="46" t="s">
        <v>1584</v>
      </c>
      <c r="K4" s="250" t="s">
        <v>138</v>
      </c>
      <c r="L4" s="250" t="s">
        <v>138</v>
      </c>
      <c r="M4" s="42" t="s">
        <v>138</v>
      </c>
      <c r="N4" s="54">
        <v>0.81</v>
      </c>
      <c r="O4" s="42" t="s">
        <v>141</v>
      </c>
      <c r="P4" s="42" t="s">
        <v>1133</v>
      </c>
      <c r="Q4" s="42" t="s">
        <v>138</v>
      </c>
      <c r="R4" s="42">
        <v>34.5</v>
      </c>
      <c r="S4" s="42" t="s">
        <v>1585</v>
      </c>
      <c r="T4" s="46" t="s">
        <v>1586</v>
      </c>
      <c r="U4" s="42" t="s">
        <v>141</v>
      </c>
      <c r="V4" s="46" t="s">
        <v>138</v>
      </c>
      <c r="W4" s="42" t="s">
        <v>1587</v>
      </c>
      <c r="X4" s="42" t="s">
        <v>139</v>
      </c>
      <c r="Y4" s="380" t="s">
        <v>1588</v>
      </c>
      <c r="Z4" s="42" t="s">
        <v>138</v>
      </c>
      <c r="AA4" s="42" t="s">
        <v>139</v>
      </c>
      <c r="AB4" s="79" t="s">
        <v>138</v>
      </c>
      <c r="AC4" s="42" t="s">
        <v>138</v>
      </c>
      <c r="AD4" s="42" t="s">
        <v>141</v>
      </c>
      <c r="AE4" s="250" t="s">
        <v>138</v>
      </c>
      <c r="AF4" s="42" t="s">
        <v>1589</v>
      </c>
      <c r="AG4" s="99">
        <f>AJ4/R4</f>
        <v>1949.2753623188405</v>
      </c>
      <c r="AH4" s="99">
        <f>AK4/R4</f>
        <v>1949.2753623188405</v>
      </c>
      <c r="AI4" s="99">
        <f>AL4/R4</f>
        <v>1949.2753623188405</v>
      </c>
      <c r="AJ4" s="105">
        <v>67250</v>
      </c>
      <c r="AK4" s="105">
        <v>67250</v>
      </c>
      <c r="AL4" s="154">
        <v>67250</v>
      </c>
      <c r="AM4" s="138" t="s">
        <v>138</v>
      </c>
      <c r="AN4" s="138" t="s">
        <v>138</v>
      </c>
      <c r="AO4" s="138" t="s">
        <v>138</v>
      </c>
      <c r="AP4" s="42" t="s">
        <v>141</v>
      </c>
      <c r="AQ4" s="42" t="s">
        <v>138</v>
      </c>
      <c r="AR4" s="42" t="s">
        <v>138</v>
      </c>
      <c r="AS4" s="42" t="s">
        <v>138</v>
      </c>
      <c r="AT4" s="99">
        <v>48810</v>
      </c>
      <c r="AU4" s="42" t="s">
        <v>138</v>
      </c>
      <c r="AV4" s="46">
        <v>19</v>
      </c>
      <c r="AW4" s="46" t="s">
        <v>1590</v>
      </c>
      <c r="AX4" s="42" t="s">
        <v>138</v>
      </c>
      <c r="AY4" s="166" t="s">
        <v>138</v>
      </c>
      <c r="AZ4" s="42" t="s">
        <v>138</v>
      </c>
      <c r="BA4" s="42" t="s">
        <v>138</v>
      </c>
      <c r="BB4" s="42" t="s">
        <v>138</v>
      </c>
      <c r="BC4" s="42" t="s">
        <v>138</v>
      </c>
      <c r="BD4" s="42"/>
      <c r="BE4" s="42"/>
      <c r="BF4" s="42"/>
      <c r="BG4" s="42"/>
      <c r="BH4" s="42">
        <v>1971.01</v>
      </c>
      <c r="BI4" s="42">
        <v>1971.01</v>
      </c>
      <c r="BJ4" s="42">
        <v>1971.01</v>
      </c>
      <c r="BK4" s="42">
        <v>68000</v>
      </c>
      <c r="BL4" s="42">
        <v>68000</v>
      </c>
      <c r="BM4" s="42">
        <v>68000</v>
      </c>
      <c r="BN4" s="42" t="s">
        <v>1591</v>
      </c>
      <c r="BO4" s="42" t="s">
        <v>1075</v>
      </c>
    </row>
    <row r="5" spans="1:68" ht="15" customHeight="1">
      <c r="A5" s="141" t="s">
        <v>1592</v>
      </c>
      <c r="B5" s="42" t="s">
        <v>1593</v>
      </c>
      <c r="C5" s="139" t="s">
        <v>1594</v>
      </c>
      <c r="D5" s="46" t="s">
        <v>1595</v>
      </c>
      <c r="E5" s="42" t="s">
        <v>1596</v>
      </c>
      <c r="F5" s="42" t="s">
        <v>249</v>
      </c>
      <c r="G5" s="250" t="s">
        <v>138</v>
      </c>
      <c r="H5" s="250" t="s">
        <v>138</v>
      </c>
      <c r="I5" s="250" t="s">
        <v>138</v>
      </c>
      <c r="J5" s="250" t="s">
        <v>138</v>
      </c>
      <c r="K5" s="250" t="s">
        <v>138</v>
      </c>
      <c r="L5" s="79" t="s">
        <v>138</v>
      </c>
      <c r="M5" s="46" t="s">
        <v>138</v>
      </c>
      <c r="N5" s="46" t="s">
        <v>138</v>
      </c>
      <c r="O5" s="42" t="s">
        <v>141</v>
      </c>
      <c r="P5" s="97">
        <f>12+0</f>
        <v>12</v>
      </c>
      <c r="Q5" s="42" t="s">
        <v>1597</v>
      </c>
      <c r="R5" s="42">
        <v>36</v>
      </c>
      <c r="S5" s="42" t="s">
        <v>1598</v>
      </c>
      <c r="T5" s="46" t="s">
        <v>1599</v>
      </c>
      <c r="U5" s="42" t="s">
        <v>141</v>
      </c>
      <c r="V5" s="46" t="s">
        <v>138</v>
      </c>
      <c r="W5" s="42" t="s">
        <v>1600</v>
      </c>
      <c r="X5" s="42" t="s">
        <v>138</v>
      </c>
      <c r="Y5" s="380" t="s">
        <v>1601</v>
      </c>
      <c r="Z5" s="42" t="s">
        <v>138</v>
      </c>
      <c r="AA5" s="42" t="s">
        <v>138</v>
      </c>
      <c r="AB5" s="79" t="s">
        <v>138</v>
      </c>
      <c r="AC5" s="42" t="s">
        <v>138</v>
      </c>
      <c r="AD5" s="42" t="s">
        <v>141</v>
      </c>
      <c r="AE5" s="46" t="s">
        <v>1602</v>
      </c>
      <c r="AF5" s="42" t="s">
        <v>1603</v>
      </c>
      <c r="AG5" s="105">
        <v>2201</v>
      </c>
      <c r="AH5" s="105">
        <v>2201</v>
      </c>
      <c r="AI5" s="105">
        <v>2201</v>
      </c>
      <c r="AJ5" s="105">
        <v>79236</v>
      </c>
      <c r="AK5" s="105">
        <v>79236</v>
      </c>
      <c r="AL5" s="105">
        <v>79236</v>
      </c>
      <c r="AM5" s="138" t="s">
        <v>138</v>
      </c>
      <c r="AN5" s="138" t="s">
        <v>138</v>
      </c>
      <c r="AO5" s="138" t="s">
        <v>138</v>
      </c>
      <c r="AP5" s="42" t="s">
        <v>141</v>
      </c>
      <c r="AQ5" s="42" t="s">
        <v>138</v>
      </c>
      <c r="AR5" s="42" t="s">
        <v>138</v>
      </c>
      <c r="AS5" s="42" t="s">
        <v>1604</v>
      </c>
      <c r="AT5" s="42" t="s">
        <v>138</v>
      </c>
      <c r="AU5" s="46">
        <v>14</v>
      </c>
      <c r="AV5" s="46">
        <v>37</v>
      </c>
      <c r="AW5" s="46" t="s">
        <v>1605</v>
      </c>
      <c r="AX5" s="42" t="s">
        <v>1606</v>
      </c>
      <c r="AY5" s="166" t="s">
        <v>138</v>
      </c>
      <c r="AZ5" s="42" t="s">
        <v>138</v>
      </c>
      <c r="BA5" s="42" t="s">
        <v>138</v>
      </c>
      <c r="BB5" s="42" t="s">
        <v>138</v>
      </c>
      <c r="BC5" s="42" t="s">
        <v>138</v>
      </c>
      <c r="BD5" s="42"/>
      <c r="BE5" s="42"/>
      <c r="BF5" s="42"/>
      <c r="BG5" s="42"/>
      <c r="BH5" s="42">
        <v>2005</v>
      </c>
      <c r="BI5" s="42">
        <v>2005</v>
      </c>
      <c r="BJ5" s="42">
        <v>2005</v>
      </c>
      <c r="BK5" s="42">
        <v>72180</v>
      </c>
      <c r="BL5" s="42">
        <v>72180</v>
      </c>
      <c r="BM5" s="42">
        <v>72180</v>
      </c>
      <c r="BN5" s="42" t="s">
        <v>1607</v>
      </c>
      <c r="BO5" s="42" t="s">
        <v>1075</v>
      </c>
    </row>
    <row r="6" spans="1:68" ht="24" customHeight="1">
      <c r="A6" s="141" t="s">
        <v>1076</v>
      </c>
      <c r="B6" s="42" t="s">
        <v>1077</v>
      </c>
      <c r="C6" s="139" t="s">
        <v>1554</v>
      </c>
      <c r="D6" s="46" t="s">
        <v>1608</v>
      </c>
      <c r="E6" s="42" t="s">
        <v>1079</v>
      </c>
      <c r="F6" s="42" t="s">
        <v>161</v>
      </c>
      <c r="G6" s="46" t="s">
        <v>1609</v>
      </c>
      <c r="H6" s="46" t="s">
        <v>1609</v>
      </c>
      <c r="I6" s="250" t="s">
        <v>138</v>
      </c>
      <c r="J6" s="79" t="s">
        <v>138</v>
      </c>
      <c r="K6" s="79" t="s">
        <v>138</v>
      </c>
      <c r="L6" s="250" t="s">
        <v>138</v>
      </c>
      <c r="M6" s="54">
        <v>0.2</v>
      </c>
      <c r="N6" s="54">
        <v>0.5</v>
      </c>
      <c r="O6" s="42" t="s">
        <v>141</v>
      </c>
      <c r="P6" s="42">
        <v>10</v>
      </c>
      <c r="Q6" s="42" t="s">
        <v>1080</v>
      </c>
      <c r="R6" s="42" t="s">
        <v>1610</v>
      </c>
      <c r="S6" s="42" t="s">
        <v>1611</v>
      </c>
      <c r="T6" s="46" t="s">
        <v>1612</v>
      </c>
      <c r="U6" s="42" t="s">
        <v>141</v>
      </c>
      <c r="V6" s="46" t="s">
        <v>138</v>
      </c>
      <c r="W6" s="42" t="s">
        <v>1613</v>
      </c>
      <c r="X6" s="42" t="s">
        <v>138</v>
      </c>
      <c r="Y6" s="380" t="s">
        <v>1614</v>
      </c>
      <c r="Z6" s="42" t="s">
        <v>138</v>
      </c>
      <c r="AA6" s="42" t="s">
        <v>141</v>
      </c>
      <c r="AB6" s="79" t="s">
        <v>138</v>
      </c>
      <c r="AC6" s="381" t="s">
        <v>1615</v>
      </c>
      <c r="AD6" s="42" t="s">
        <v>141</v>
      </c>
      <c r="AE6" s="46" t="s">
        <v>1612</v>
      </c>
      <c r="AF6" s="42" t="s">
        <v>1616</v>
      </c>
      <c r="AG6" s="99">
        <v>1500</v>
      </c>
      <c r="AH6" s="99">
        <v>1611</v>
      </c>
      <c r="AI6" s="99">
        <v>1611</v>
      </c>
      <c r="AJ6" s="105">
        <v>54000</v>
      </c>
      <c r="AK6" s="105">
        <v>58000</v>
      </c>
      <c r="AL6" s="105">
        <v>58000</v>
      </c>
      <c r="AM6" s="138" t="s">
        <v>138</v>
      </c>
      <c r="AN6" s="138" t="s">
        <v>138</v>
      </c>
      <c r="AO6" s="138" t="s">
        <v>138</v>
      </c>
      <c r="AP6" s="42" t="s">
        <v>141</v>
      </c>
      <c r="AQ6" s="42" t="s">
        <v>138</v>
      </c>
      <c r="AR6" s="42" t="s">
        <v>138</v>
      </c>
      <c r="AS6" s="108">
        <v>1.2909999999999999</v>
      </c>
      <c r="AT6" s="99">
        <v>47344</v>
      </c>
      <c r="AU6" s="46">
        <v>9</v>
      </c>
      <c r="AV6" s="42">
        <v>27</v>
      </c>
      <c r="AW6" s="46" t="s">
        <v>1617</v>
      </c>
      <c r="AX6" s="42" t="s">
        <v>1618</v>
      </c>
      <c r="AY6" s="166" t="s">
        <v>138</v>
      </c>
      <c r="AZ6" s="42" t="s">
        <v>138</v>
      </c>
      <c r="BA6" s="42" t="s">
        <v>138</v>
      </c>
      <c r="BB6" s="42" t="s">
        <v>138</v>
      </c>
      <c r="BC6" s="42" t="s">
        <v>138</v>
      </c>
      <c r="BD6" s="42"/>
      <c r="BE6" s="42"/>
      <c r="BF6" s="42"/>
      <c r="BG6" s="42"/>
      <c r="BH6" s="42" t="s">
        <v>1221</v>
      </c>
      <c r="BI6" s="42" t="s">
        <v>1221</v>
      </c>
      <c r="BJ6" s="42" t="s">
        <v>1221</v>
      </c>
      <c r="BK6" s="42">
        <v>54000</v>
      </c>
      <c r="BL6" s="42">
        <v>58000</v>
      </c>
      <c r="BM6" s="42">
        <v>58000</v>
      </c>
      <c r="BN6" s="42" t="s">
        <v>1619</v>
      </c>
      <c r="BO6" s="42" t="s">
        <v>1075</v>
      </c>
    </row>
    <row r="7" spans="1:68" ht="15" customHeight="1">
      <c r="A7" s="141" t="s">
        <v>1620</v>
      </c>
      <c r="B7" s="42" t="s">
        <v>1621</v>
      </c>
      <c r="C7" s="139" t="s">
        <v>1580</v>
      </c>
      <c r="D7" s="46" t="s">
        <v>1622</v>
      </c>
      <c r="E7" s="42" t="s">
        <v>1623</v>
      </c>
      <c r="F7" s="42" t="s">
        <v>1225</v>
      </c>
      <c r="G7" s="250" t="s">
        <v>138</v>
      </c>
      <c r="H7" s="250" t="s">
        <v>138</v>
      </c>
      <c r="I7" s="250" t="s">
        <v>138</v>
      </c>
      <c r="J7" s="250" t="s">
        <v>138</v>
      </c>
      <c r="K7" s="250" t="s">
        <v>138</v>
      </c>
      <c r="L7" s="42" t="s">
        <v>138</v>
      </c>
      <c r="M7" s="46" t="s">
        <v>138</v>
      </c>
      <c r="N7" s="46" t="s">
        <v>138</v>
      </c>
      <c r="O7" s="42" t="s">
        <v>141</v>
      </c>
      <c r="P7" s="82" t="s">
        <v>1624</v>
      </c>
      <c r="Q7" s="42" t="s">
        <v>990</v>
      </c>
      <c r="R7" s="42">
        <v>30</v>
      </c>
      <c r="S7" s="42" t="s">
        <v>1625</v>
      </c>
      <c r="T7" s="46" t="s">
        <v>1622</v>
      </c>
      <c r="U7" s="42" t="s">
        <v>141</v>
      </c>
      <c r="V7" s="46" t="s">
        <v>138</v>
      </c>
      <c r="W7" s="42" t="s">
        <v>1626</v>
      </c>
      <c r="X7" s="42" t="s">
        <v>138</v>
      </c>
      <c r="Y7" s="380" t="s">
        <v>1627</v>
      </c>
      <c r="Z7" s="42" t="s">
        <v>138</v>
      </c>
      <c r="AA7" s="42" t="s">
        <v>138</v>
      </c>
      <c r="AB7" s="79" t="s">
        <v>138</v>
      </c>
      <c r="AC7" s="42" t="s">
        <v>138</v>
      </c>
      <c r="AD7" s="42" t="s">
        <v>141</v>
      </c>
      <c r="AE7" s="46" t="s">
        <v>1622</v>
      </c>
      <c r="AF7" s="42" t="s">
        <v>1628</v>
      </c>
      <c r="AG7" s="105">
        <v>848</v>
      </c>
      <c r="AH7" s="105">
        <v>1845</v>
      </c>
      <c r="AI7" s="105">
        <v>1845</v>
      </c>
      <c r="AJ7" s="105">
        <v>25440</v>
      </c>
      <c r="AK7" s="105">
        <v>55350</v>
      </c>
      <c r="AL7" s="105">
        <v>55350</v>
      </c>
      <c r="AM7" s="138" t="s">
        <v>138</v>
      </c>
      <c r="AN7" s="138" t="s">
        <v>138</v>
      </c>
      <c r="AO7" s="138" t="s">
        <v>138</v>
      </c>
      <c r="AP7" s="42" t="s">
        <v>141</v>
      </c>
      <c r="AQ7" s="42" t="s">
        <v>138</v>
      </c>
      <c r="AR7" s="42" t="s">
        <v>138</v>
      </c>
      <c r="AS7" s="42" t="s">
        <v>138</v>
      </c>
      <c r="AT7" s="99" t="s">
        <v>138</v>
      </c>
      <c r="AU7" s="42" t="s">
        <v>138</v>
      </c>
      <c r="AV7" s="250" t="s">
        <v>138</v>
      </c>
      <c r="AW7" s="46" t="s">
        <v>1130</v>
      </c>
      <c r="AX7" s="53">
        <v>0.82</v>
      </c>
      <c r="AY7" s="166" t="s">
        <v>138</v>
      </c>
      <c r="AZ7" s="42" t="s">
        <v>138</v>
      </c>
      <c r="BA7" s="42" t="s">
        <v>138</v>
      </c>
      <c r="BB7" s="42" t="s">
        <v>138</v>
      </c>
      <c r="BC7" s="42" t="s">
        <v>138</v>
      </c>
      <c r="BD7" s="42"/>
      <c r="BE7" s="42"/>
      <c r="BF7" s="42"/>
      <c r="BG7" s="42"/>
      <c r="BH7" s="42">
        <v>1625</v>
      </c>
      <c r="BI7" s="42">
        <v>1735</v>
      </c>
      <c r="BJ7" s="42">
        <v>1735</v>
      </c>
      <c r="BK7" s="42">
        <v>48750</v>
      </c>
      <c r="BL7" s="42">
        <v>52050</v>
      </c>
      <c r="BM7" s="42">
        <v>52050</v>
      </c>
      <c r="BN7" s="42" t="s">
        <v>1629</v>
      </c>
      <c r="BO7" s="42" t="s">
        <v>1170</v>
      </c>
    </row>
    <row r="8" spans="1:68" ht="15" customHeight="1">
      <c r="A8" s="141" t="s">
        <v>526</v>
      </c>
      <c r="B8" s="42" t="s">
        <v>527</v>
      </c>
      <c r="C8" s="139" t="s">
        <v>1554</v>
      </c>
      <c r="D8" s="46" t="s">
        <v>1630</v>
      </c>
      <c r="E8" s="42" t="s">
        <v>530</v>
      </c>
      <c r="F8" s="42" t="s">
        <v>531</v>
      </c>
      <c r="G8" s="46">
        <v>673</v>
      </c>
      <c r="H8" s="79" t="s">
        <v>138</v>
      </c>
      <c r="I8" s="46">
        <v>3.47</v>
      </c>
      <c r="J8" s="42">
        <v>20</v>
      </c>
      <c r="K8" s="79" t="s">
        <v>138</v>
      </c>
      <c r="L8" s="46">
        <v>52</v>
      </c>
      <c r="M8" s="46" t="s">
        <v>138</v>
      </c>
      <c r="N8" s="46" t="s">
        <v>138</v>
      </c>
      <c r="O8" s="42" t="s">
        <v>141</v>
      </c>
      <c r="P8" s="42">
        <v>12</v>
      </c>
      <c r="Q8" s="42" t="s">
        <v>990</v>
      </c>
      <c r="R8" s="42">
        <v>33</v>
      </c>
      <c r="S8" s="42" t="s">
        <v>1631</v>
      </c>
      <c r="T8" s="46" t="s">
        <v>1630</v>
      </c>
      <c r="U8" s="42" t="s">
        <v>138</v>
      </c>
      <c r="V8" s="46" t="s">
        <v>138</v>
      </c>
      <c r="W8" s="42" t="s">
        <v>138</v>
      </c>
      <c r="X8" s="42" t="s">
        <v>138</v>
      </c>
      <c r="Y8" s="380" t="s">
        <v>1632</v>
      </c>
      <c r="Z8" s="42" t="s">
        <v>138</v>
      </c>
      <c r="AA8" s="42" t="s">
        <v>138</v>
      </c>
      <c r="AB8" s="79" t="s">
        <v>138</v>
      </c>
      <c r="AC8" s="42" t="s">
        <v>138</v>
      </c>
      <c r="AD8" s="42" t="s">
        <v>141</v>
      </c>
      <c r="AE8" s="250" t="s">
        <v>138</v>
      </c>
      <c r="AF8" s="42" t="s">
        <v>1633</v>
      </c>
      <c r="AG8" s="105">
        <v>2421</v>
      </c>
      <c r="AH8" s="105">
        <v>2421</v>
      </c>
      <c r="AI8" s="105">
        <v>2421</v>
      </c>
      <c r="AJ8" s="105">
        <v>79893</v>
      </c>
      <c r="AK8" s="105">
        <v>79893</v>
      </c>
      <c r="AL8" s="105">
        <v>79893</v>
      </c>
      <c r="AM8" s="138" t="s">
        <v>138</v>
      </c>
      <c r="AN8" s="138" t="s">
        <v>138</v>
      </c>
      <c r="AO8" s="138" t="s">
        <v>138</v>
      </c>
      <c r="AP8" s="42" t="s">
        <v>141</v>
      </c>
      <c r="AQ8" s="42" t="s">
        <v>138</v>
      </c>
      <c r="AR8" s="42" t="s">
        <v>138</v>
      </c>
      <c r="AS8" s="42" t="s">
        <v>138</v>
      </c>
      <c r="AT8" s="148">
        <v>73141</v>
      </c>
      <c r="AU8" s="46">
        <v>30</v>
      </c>
      <c r="AV8" s="42" t="s">
        <v>138</v>
      </c>
      <c r="AW8" s="46" t="s">
        <v>1634</v>
      </c>
      <c r="AX8" s="42" t="s">
        <v>138</v>
      </c>
      <c r="AY8" s="166" t="s">
        <v>138</v>
      </c>
      <c r="AZ8" s="42" t="s">
        <v>138</v>
      </c>
      <c r="BA8" s="42" t="s">
        <v>138</v>
      </c>
      <c r="BB8" s="42" t="s">
        <v>138</v>
      </c>
      <c r="BC8" s="42" t="s">
        <v>138</v>
      </c>
      <c r="BD8" s="42"/>
      <c r="BE8" s="42"/>
      <c r="BF8" s="42"/>
      <c r="BG8" s="42"/>
      <c r="BH8" s="42">
        <v>2541</v>
      </c>
      <c r="BI8" s="42">
        <v>2541</v>
      </c>
      <c r="BJ8" s="42">
        <v>2541</v>
      </c>
      <c r="BK8" s="42">
        <v>87849</v>
      </c>
      <c r="BL8" s="42">
        <v>87849</v>
      </c>
      <c r="BM8" s="42">
        <v>87849</v>
      </c>
      <c r="BN8" s="42" t="s">
        <v>1635</v>
      </c>
      <c r="BO8" s="42" t="s">
        <v>1075</v>
      </c>
    </row>
    <row r="9" spans="1:68" ht="15" customHeight="1">
      <c r="A9" s="141" t="s">
        <v>1636</v>
      </c>
      <c r="B9" s="42" t="s">
        <v>1637</v>
      </c>
      <c r="C9" s="139" t="s">
        <v>1638</v>
      </c>
      <c r="D9" s="46" t="s">
        <v>1639</v>
      </c>
      <c r="E9" s="42" t="s">
        <v>1640</v>
      </c>
      <c r="F9" s="42" t="s">
        <v>679</v>
      </c>
      <c r="G9" s="46">
        <v>720</v>
      </c>
      <c r="H9" s="250" t="s">
        <v>138</v>
      </c>
      <c r="I9" s="46">
        <v>3.85</v>
      </c>
      <c r="J9" s="79" t="s">
        <v>138</v>
      </c>
      <c r="K9" s="46">
        <v>24</v>
      </c>
      <c r="L9" s="46">
        <v>34</v>
      </c>
      <c r="M9" s="53">
        <v>0.5</v>
      </c>
      <c r="N9" s="54">
        <v>0.59</v>
      </c>
      <c r="O9" s="42" t="s">
        <v>141</v>
      </c>
      <c r="P9" s="42">
        <v>18</v>
      </c>
      <c r="Q9" s="42" t="s">
        <v>990</v>
      </c>
      <c r="R9" s="42">
        <v>30</v>
      </c>
      <c r="S9" s="42" t="s">
        <v>1641</v>
      </c>
      <c r="T9" s="46" t="s">
        <v>1642</v>
      </c>
      <c r="U9" s="42" t="s">
        <v>138</v>
      </c>
      <c r="V9" s="42" t="s">
        <v>138</v>
      </c>
      <c r="W9" s="42" t="s">
        <v>138</v>
      </c>
      <c r="X9" s="42" t="s">
        <v>138</v>
      </c>
      <c r="Y9" s="380" t="s">
        <v>1643</v>
      </c>
      <c r="Z9" s="42" t="s">
        <v>138</v>
      </c>
      <c r="AA9" s="42" t="s">
        <v>138</v>
      </c>
      <c r="AB9" s="79" t="s">
        <v>138</v>
      </c>
      <c r="AC9" s="42" t="s">
        <v>138</v>
      </c>
      <c r="AD9" s="42" t="s">
        <v>141</v>
      </c>
      <c r="AE9" s="250" t="s">
        <v>138</v>
      </c>
      <c r="AF9" s="42" t="s">
        <v>1644</v>
      </c>
      <c r="AG9" s="99">
        <f>AJ9/R9</f>
        <v>2571.8666666666668</v>
      </c>
      <c r="AH9" s="99">
        <f>AK9/R9</f>
        <v>2571.8666666666668</v>
      </c>
      <c r="AI9" s="99">
        <f>AL9/R9</f>
        <v>2571.8666666666668</v>
      </c>
      <c r="AJ9" s="105">
        <v>77156</v>
      </c>
      <c r="AK9" s="105">
        <v>77156</v>
      </c>
      <c r="AL9" s="105">
        <v>77156</v>
      </c>
      <c r="AM9" s="138">
        <f t="shared" si="0"/>
        <v>11.10158273381295</v>
      </c>
      <c r="AN9" s="138">
        <f t="shared" si="1"/>
        <v>11.10158273381295</v>
      </c>
      <c r="AO9" s="138">
        <f t="shared" si="2"/>
        <v>11.10158273381295</v>
      </c>
      <c r="AP9" s="42" t="s">
        <v>138</v>
      </c>
      <c r="AQ9" s="42" t="s">
        <v>141</v>
      </c>
      <c r="AR9" s="42" t="s">
        <v>138</v>
      </c>
      <c r="AS9" s="42" t="s">
        <v>138</v>
      </c>
      <c r="AT9" s="289">
        <v>113107</v>
      </c>
      <c r="AU9" s="44">
        <v>6</v>
      </c>
      <c r="AV9" s="46">
        <v>5</v>
      </c>
      <c r="AW9" s="46">
        <v>5</v>
      </c>
      <c r="AX9" s="53">
        <v>0.83</v>
      </c>
      <c r="AY9" s="166">
        <v>83400</v>
      </c>
      <c r="AZ9" s="99" t="s">
        <v>138</v>
      </c>
      <c r="BA9" s="42">
        <f t="shared" si="3"/>
        <v>-0.56165938726920106</v>
      </c>
      <c r="BB9" s="42">
        <f t="shared" si="4"/>
        <v>-0.56165938726920106</v>
      </c>
      <c r="BC9" s="42">
        <f t="shared" si="5"/>
        <v>-0.56165938726920106</v>
      </c>
      <c r="BD9" s="42"/>
      <c r="BE9" s="42"/>
      <c r="BF9" s="42"/>
      <c r="BG9" s="42"/>
      <c r="BH9" s="42">
        <v>2649.07</v>
      </c>
      <c r="BI9" s="42">
        <v>2649.07</v>
      </c>
      <c r="BJ9" s="42">
        <v>2649.07</v>
      </c>
      <c r="BK9" s="42">
        <v>79472</v>
      </c>
      <c r="BL9" s="42">
        <v>79472</v>
      </c>
      <c r="BM9" s="42">
        <v>79472</v>
      </c>
      <c r="BN9" s="42" t="s">
        <v>1645</v>
      </c>
      <c r="BO9" s="42" t="s">
        <v>1075</v>
      </c>
    </row>
    <row r="10" spans="1:68" ht="15" customHeight="1">
      <c r="A10" s="141" t="s">
        <v>1646</v>
      </c>
      <c r="B10" s="42" t="s">
        <v>1647</v>
      </c>
      <c r="C10" s="139" t="s">
        <v>1648</v>
      </c>
      <c r="D10" s="46" t="s">
        <v>1649</v>
      </c>
      <c r="E10" s="42" t="s">
        <v>1650</v>
      </c>
      <c r="F10" s="42" t="s">
        <v>231</v>
      </c>
      <c r="G10" s="42" t="s">
        <v>138</v>
      </c>
      <c r="H10" s="79" t="s">
        <v>138</v>
      </c>
      <c r="I10" s="42" t="s">
        <v>138</v>
      </c>
      <c r="J10" s="250" t="s">
        <v>138</v>
      </c>
      <c r="K10" s="250" t="s">
        <v>138</v>
      </c>
      <c r="L10" s="46" t="s">
        <v>1651</v>
      </c>
      <c r="M10" s="53">
        <v>0.22</v>
      </c>
      <c r="N10" s="42" t="s">
        <v>138</v>
      </c>
      <c r="O10" s="42" t="s">
        <v>141</v>
      </c>
      <c r="P10" s="42">
        <v>12</v>
      </c>
      <c r="Q10" s="42" t="s">
        <v>1097</v>
      </c>
      <c r="R10" s="42">
        <v>18</v>
      </c>
      <c r="S10" s="42" t="s">
        <v>1652</v>
      </c>
      <c r="T10" s="46" t="s">
        <v>1653</v>
      </c>
      <c r="U10" s="42" t="s">
        <v>141</v>
      </c>
      <c r="V10" s="46" t="s">
        <v>1654</v>
      </c>
      <c r="W10" s="42" t="s">
        <v>1655</v>
      </c>
      <c r="X10" s="42" t="s">
        <v>141</v>
      </c>
      <c r="Y10" s="380" t="s">
        <v>1656</v>
      </c>
      <c r="Z10" s="42" t="s">
        <v>1657</v>
      </c>
      <c r="AA10" s="42" t="s">
        <v>141</v>
      </c>
      <c r="AB10" s="250" t="s">
        <v>138</v>
      </c>
      <c r="AC10" s="42" t="s">
        <v>1658</v>
      </c>
      <c r="AD10" s="42" t="s">
        <v>141</v>
      </c>
      <c r="AE10" s="46" t="s">
        <v>1654</v>
      </c>
      <c r="AF10" s="42" t="s">
        <v>1659</v>
      </c>
      <c r="AG10" s="99">
        <f>AJ10/R10</f>
        <v>4645</v>
      </c>
      <c r="AH10" s="99">
        <f>AK10/R10</f>
        <v>4645</v>
      </c>
      <c r="AI10" s="99">
        <f>AL10/R10</f>
        <v>4645</v>
      </c>
      <c r="AJ10" s="105">
        <v>83610</v>
      </c>
      <c r="AK10" s="105">
        <v>83610</v>
      </c>
      <c r="AL10" s="105">
        <v>83610</v>
      </c>
      <c r="AM10" s="138" t="s">
        <v>138</v>
      </c>
      <c r="AN10" s="138" t="s">
        <v>138</v>
      </c>
      <c r="AO10" s="138" t="s">
        <v>138</v>
      </c>
      <c r="AP10" s="42" t="s">
        <v>141</v>
      </c>
      <c r="AQ10" s="42" t="s">
        <v>138</v>
      </c>
      <c r="AR10" s="42" t="s">
        <v>138</v>
      </c>
      <c r="AS10" s="53">
        <v>0.34</v>
      </c>
      <c r="AT10" s="99">
        <v>65392</v>
      </c>
      <c r="AU10" s="46">
        <v>1</v>
      </c>
      <c r="AV10" s="46">
        <v>7</v>
      </c>
      <c r="AW10" s="42" t="s">
        <v>1660</v>
      </c>
      <c r="AX10" s="53">
        <v>0.95</v>
      </c>
      <c r="AY10" s="42" t="s">
        <v>138</v>
      </c>
      <c r="AZ10" s="42" t="s">
        <v>138</v>
      </c>
      <c r="BA10" s="42" t="s">
        <v>138</v>
      </c>
      <c r="BB10" s="42" t="s">
        <v>138</v>
      </c>
      <c r="BC10" s="42" t="s">
        <v>138</v>
      </c>
      <c r="BD10" s="42"/>
      <c r="BE10" s="42"/>
      <c r="BF10" s="42"/>
      <c r="BG10" s="42"/>
      <c r="BH10" s="42">
        <v>5463</v>
      </c>
      <c r="BI10" s="42">
        <v>5463</v>
      </c>
      <c r="BJ10" s="42">
        <v>5463</v>
      </c>
      <c r="BK10" s="42">
        <v>71019</v>
      </c>
      <c r="BL10" s="42">
        <v>71019</v>
      </c>
      <c r="BM10" s="42">
        <v>71019</v>
      </c>
      <c r="BN10" s="42" t="s">
        <v>1661</v>
      </c>
      <c r="BO10" s="42" t="s">
        <v>1075</v>
      </c>
    </row>
    <row r="11" spans="1:68" ht="15" customHeight="1">
      <c r="A11" s="184" t="s">
        <v>1662</v>
      </c>
      <c r="B11" s="382" t="s">
        <v>911</v>
      </c>
      <c r="C11" s="42" t="s">
        <v>1663</v>
      </c>
      <c r="D11" s="46" t="s">
        <v>1664</v>
      </c>
      <c r="E11" s="42" t="s">
        <v>1665</v>
      </c>
      <c r="F11" s="42" t="s">
        <v>182</v>
      </c>
      <c r="G11" s="42" t="s">
        <v>138</v>
      </c>
      <c r="H11" s="79" t="s">
        <v>138</v>
      </c>
      <c r="I11" s="42" t="s">
        <v>138</v>
      </c>
      <c r="J11" s="79" t="s">
        <v>138</v>
      </c>
      <c r="K11" s="79" t="s">
        <v>138</v>
      </c>
      <c r="L11" s="42" t="s">
        <v>138</v>
      </c>
      <c r="M11" s="42" t="s">
        <v>138</v>
      </c>
      <c r="N11" s="42" t="s">
        <v>138</v>
      </c>
      <c r="O11" s="42" t="s">
        <v>138</v>
      </c>
      <c r="P11" s="42" t="s">
        <v>138</v>
      </c>
      <c r="Q11" s="42" t="s">
        <v>138</v>
      </c>
      <c r="R11" s="42" t="s">
        <v>138</v>
      </c>
      <c r="S11" s="42" t="s">
        <v>138</v>
      </c>
      <c r="T11" s="42" t="s">
        <v>138</v>
      </c>
      <c r="U11" s="42" t="s">
        <v>138</v>
      </c>
      <c r="V11" s="42" t="s">
        <v>138</v>
      </c>
      <c r="W11" s="42" t="s">
        <v>138</v>
      </c>
      <c r="X11" s="42"/>
      <c r="Y11" s="380" t="s">
        <v>1666</v>
      </c>
      <c r="Z11" s="42" t="s">
        <v>138</v>
      </c>
      <c r="AA11" s="42" t="s">
        <v>138</v>
      </c>
      <c r="AB11" s="79" t="s">
        <v>138</v>
      </c>
      <c r="AC11" s="79" t="s">
        <v>138</v>
      </c>
      <c r="AD11" s="79" t="s">
        <v>138</v>
      </c>
      <c r="AE11" s="79" t="s">
        <v>138</v>
      </c>
      <c r="AF11" s="79" t="s">
        <v>138</v>
      </c>
      <c r="AG11" s="42"/>
      <c r="AH11" s="42" t="s">
        <v>138</v>
      </c>
      <c r="AI11" s="42" t="s">
        <v>138</v>
      </c>
      <c r="AJ11" s="42" t="s">
        <v>138</v>
      </c>
      <c r="AK11" s="42" t="s">
        <v>138</v>
      </c>
      <c r="AL11" s="42" t="s">
        <v>138</v>
      </c>
      <c r="AM11" s="42" t="s">
        <v>138</v>
      </c>
      <c r="AN11" s="42" t="s">
        <v>138</v>
      </c>
      <c r="AO11" s="138" t="s">
        <v>138</v>
      </c>
      <c r="AP11" s="138" t="s">
        <v>138</v>
      </c>
      <c r="AQ11" s="138" t="s">
        <v>138</v>
      </c>
      <c r="AR11" s="138" t="s">
        <v>138</v>
      </c>
      <c r="AS11" s="138" t="s">
        <v>138</v>
      </c>
      <c r="AT11" s="99">
        <v>94630</v>
      </c>
      <c r="AU11" s="42" t="s">
        <v>145</v>
      </c>
      <c r="AV11" s="42" t="s">
        <v>138</v>
      </c>
      <c r="AW11" s="42" t="s">
        <v>145</v>
      </c>
      <c r="AX11" s="42" t="s">
        <v>138</v>
      </c>
      <c r="AY11" s="42" t="s">
        <v>138</v>
      </c>
      <c r="AZ11" s="42" t="s">
        <v>138</v>
      </c>
      <c r="BA11" s="42" t="s">
        <v>138</v>
      </c>
      <c r="BB11" s="42" t="s">
        <v>138</v>
      </c>
      <c r="BC11" s="42" t="s">
        <v>138</v>
      </c>
      <c r="BD11" s="42"/>
      <c r="BE11" s="42"/>
      <c r="BF11" s="42"/>
      <c r="BG11" s="42"/>
      <c r="BH11" s="42">
        <v>2110</v>
      </c>
      <c r="BI11" s="42">
        <v>2110</v>
      </c>
      <c r="BJ11" s="42">
        <v>2110</v>
      </c>
      <c r="BK11" s="42">
        <v>94950</v>
      </c>
      <c r="BL11" s="42">
        <v>94950</v>
      </c>
      <c r="BM11" s="42">
        <v>94950</v>
      </c>
      <c r="BN11" s="42" t="s">
        <v>1667</v>
      </c>
      <c r="BO11" s="42" t="s">
        <v>1075</v>
      </c>
    </row>
    <row r="13" spans="1:68" ht="15" customHeight="1">
      <c r="A13" s="66" t="s">
        <v>1668</v>
      </c>
      <c r="X13" s="60"/>
      <c r="Y13" s="60"/>
      <c r="AG13" s="25">
        <f>(AY2-(AJ2+AT2))/(AJ2+AT2)</f>
        <v>0.21068796914813029</v>
      </c>
    </row>
    <row r="14" spans="1:68" ht="15" customHeight="1">
      <c r="X14" s="60"/>
      <c r="Y14" s="59"/>
    </row>
    <row r="15" spans="1:68" ht="15" customHeight="1">
      <c r="X15" s="60"/>
      <c r="Y15" s="59"/>
    </row>
    <row r="16" spans="1:68" ht="15" customHeight="1">
      <c r="X16" s="60"/>
      <c r="Y16" s="59"/>
    </row>
    <row r="17" spans="24:34" ht="15" customHeight="1">
      <c r="X17" s="60"/>
      <c r="Y17" s="59"/>
    </row>
    <row r="18" spans="24:34" ht="15" customHeight="1">
      <c r="X18" s="60"/>
      <c r="Y18" s="59"/>
      <c r="AH18" s="383" t="s">
        <v>1669</v>
      </c>
    </row>
    <row r="19" spans="24:34" ht="15" customHeight="1">
      <c r="X19" s="60"/>
      <c r="Y19" s="59"/>
    </row>
    <row r="20" spans="24:34" ht="15" customHeight="1">
      <c r="X20" s="60"/>
      <c r="Y20" s="59"/>
    </row>
    <row r="21" spans="24:34" ht="15" customHeight="1">
      <c r="X21" s="60"/>
      <c r="Y21" s="59"/>
    </row>
    <row r="22" spans="24:34" ht="15" customHeight="1">
      <c r="X22" s="60"/>
      <c r="Y22" s="59"/>
    </row>
    <row r="23" spans="24:34" ht="15" customHeight="1">
      <c r="X23" s="60"/>
      <c r="Y23" s="59"/>
    </row>
  </sheetData>
  <hyperlinks>
    <hyperlink ref="D9" r:id="rId1" xr:uid="{25AD640F-C479-4FF9-866E-94D2E507C9E5}"/>
    <hyperlink ref="D3" r:id="rId2" xr:uid="{96F9418F-4839-4DAA-A7C8-D948C300E948}"/>
    <hyperlink ref="D4" r:id="rId3" xr:uid="{920C9A10-6E71-41BC-ACFE-8CA7B2343AA5}"/>
    <hyperlink ref="D6" r:id="rId4" xr:uid="{30E34238-B200-492A-8FDD-9FC20DF37954}"/>
    <hyperlink ref="D7" r:id="rId5" xr:uid="{16BD1D59-1A57-4264-8FA9-36ECE050474E}"/>
    <hyperlink ref="D8" r:id="rId6" xr:uid="{8E55EF91-785D-4F97-9BEA-4C6E8604E9D8}"/>
    <hyperlink ref="D10" r:id="rId7" xr:uid="{92B1FB05-3E67-444E-B418-4D20AC93163D}"/>
    <hyperlink ref="D5" r:id="rId8" xr:uid="{AF291D8B-BBF1-4A34-88A3-ADA0C360F94D}"/>
    <hyperlink ref="D2" r:id="rId9" xr:uid="{C9BC15C9-1B36-4F92-BFD2-87BCC6364429}"/>
    <hyperlink ref="Y2" r:id="rId10" xr:uid="{C987EEF3-8CA2-4B92-81B7-E8A84DAE90D2}"/>
    <hyperlink ref="Y3" r:id="rId11" xr:uid="{E70BC224-E903-43F0-9491-5332DC201A9D}"/>
    <hyperlink ref="Y4" r:id="rId12" xr:uid="{EE171ED1-0DC5-4D2E-AD50-20244869A9AB}"/>
    <hyperlink ref="Y5" r:id="rId13" xr:uid="{2412D4D3-AC83-4C15-BE45-2FB3A3EACEA8}"/>
    <hyperlink ref="Y6" r:id="rId14" xr:uid="{FAA47808-075A-4A62-9A0C-F1A11A4C31D8}"/>
    <hyperlink ref="Y7" r:id="rId15" xr:uid="{6D6E39B7-D177-48BE-AC75-05BF5359B295}"/>
    <hyperlink ref="Y8" r:id="rId16" xr:uid="{1A3DCE4B-E77D-406C-942A-698A6E148427}"/>
    <hyperlink ref="Y9" r:id="rId17" xr:uid="{040DD51C-E746-4165-913B-CF237A3181DF}"/>
    <hyperlink ref="Y10" r:id="rId18" xr:uid="{F607BE94-5EB2-4334-B68A-2FC325C027CE}"/>
    <hyperlink ref="Y11" r:id="rId19" xr:uid="{653805F1-21A8-4505-BF6E-B4299E939E11}"/>
    <hyperlink ref="D11" r:id="rId20" xr:uid="{40349E93-7E37-4ECD-9100-060600B24BE2}"/>
    <hyperlink ref="AW9" r:id="rId21" display="5" xr:uid="{284ABE07-4874-45F7-9510-C945DE637FF9}"/>
    <hyperlink ref="AW8" r:id="rId22" xr:uid="{52C7AF9F-AAD0-4F8A-9E61-DEDB71D5A2BE}"/>
    <hyperlink ref="AW7" r:id="rId23" xr:uid="{9892D570-C66F-4D28-891F-FB106A5A6B1B}"/>
    <hyperlink ref="AW6" r:id="rId24" xr:uid="{271DA668-4632-4F24-8CA1-50232D197DDD}"/>
    <hyperlink ref="AW5" r:id="rId25" xr:uid="{72573FA6-2A6A-48A3-8161-4FD2524049E6}"/>
    <hyperlink ref="AW4" r:id="rId26" xr:uid="{709D92D5-1F85-4A89-8B4A-47AE18F11262}"/>
    <hyperlink ref="AW3" r:id="rId27" display="30" xr:uid="{F397E099-BC04-4491-B605-AAD3AEDD583B}"/>
    <hyperlink ref="AW2" r:id="rId28" xr:uid="{EC66F9AB-1739-47A0-99DF-A8B80572E2F4}"/>
    <hyperlink ref="AU5" r:id="rId29" display="14" xr:uid="{11C59D70-0B30-4868-85F4-ACBABA99539A}"/>
    <hyperlink ref="AU6" r:id="rId30" display="9" xr:uid="{E6DB8B66-5AD8-4A69-B67D-DA599A29C5BE}"/>
    <hyperlink ref="AU8" r:id="rId31" display="30" xr:uid="{200C7A52-B5DD-4E11-98D1-89DEC06BA12C}"/>
    <hyperlink ref="AU9" r:id="rId32" display="6" xr:uid="{DE45315C-E235-4491-ADE3-1AF30FE2F0A8}"/>
    <hyperlink ref="AU10" r:id="rId33" display="1" xr:uid="{0FE58607-6BC9-4AED-B7BA-25953AE46BAC}"/>
    <hyperlink ref="AE10" r:id="rId34" xr:uid="{A90B6E5B-D257-8545-9334-8F348179258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B860-9F2D-49DA-8384-2D27477C5D6E}">
  <sheetPr>
    <tabColor rgb="FFFFFF00"/>
  </sheetPr>
  <dimension ref="A1:BH9"/>
  <sheetViews>
    <sheetView zoomScale="125" workbookViewId="0">
      <pane xSplit="1" ySplit="1" topLeftCell="BD2" activePane="bottomRight" state="frozen"/>
      <selection pane="bottomRight" activeCell="BE19" sqref="BE19"/>
      <selection pane="bottomLeft"/>
      <selection pane="topRight"/>
    </sheetView>
  </sheetViews>
  <sheetFormatPr defaultColWidth="8.85546875" defaultRowHeight="15"/>
  <cols>
    <col min="1" max="1" width="29.28515625" style="25" bestFit="1" customWidth="1"/>
    <col min="2" max="2" width="58.42578125" style="25" customWidth="1"/>
    <col min="3" max="3" width="49" style="25" customWidth="1"/>
    <col min="4" max="4" width="15.42578125" style="25" customWidth="1"/>
    <col min="5" max="5" width="18.42578125" style="25" customWidth="1"/>
    <col min="6" max="6" width="18.140625" style="25" customWidth="1"/>
    <col min="7" max="7" width="14.42578125" style="25" bestFit="1" customWidth="1"/>
    <col min="8" max="8" width="12.28515625" style="25" bestFit="1" customWidth="1"/>
    <col min="9" max="9" width="26.85546875" style="25" bestFit="1" customWidth="1"/>
    <col min="10" max="10" width="22.85546875" style="25" customWidth="1"/>
    <col min="11" max="11" width="19.7109375" style="25" bestFit="1" customWidth="1"/>
    <col min="12" max="12" width="9.28515625" style="25" bestFit="1" customWidth="1"/>
    <col min="13" max="13" width="13.7109375" style="25" customWidth="1"/>
    <col min="14" max="14" width="9.140625" style="25"/>
    <col min="15" max="15" width="16.7109375" style="25" customWidth="1"/>
    <col min="16" max="16" width="16.42578125" style="25" customWidth="1"/>
    <col min="17" max="17" width="20" style="25" bestFit="1" customWidth="1"/>
    <col min="18" max="18" width="12.140625" style="25" bestFit="1" customWidth="1"/>
    <col min="19" max="19" width="27.42578125" style="25" customWidth="1"/>
    <col min="20" max="20" width="15.140625" style="25" customWidth="1"/>
    <col min="21" max="21" width="27.42578125" style="25" customWidth="1"/>
    <col min="22" max="23" width="36.42578125" style="25" customWidth="1"/>
    <col min="24" max="24" width="32.28515625" style="25" customWidth="1"/>
    <col min="25" max="25" width="29.42578125" style="25" customWidth="1"/>
    <col min="26" max="26" width="40.42578125" style="25" customWidth="1"/>
    <col min="27" max="27" width="28.28515625" style="25" customWidth="1"/>
    <col min="28" max="28" width="25.140625" style="25" customWidth="1"/>
    <col min="29" max="29" width="36.140625" style="25" customWidth="1"/>
    <col min="30" max="30" width="47.28515625" style="25" customWidth="1"/>
    <col min="31" max="31" width="42.42578125" style="25" customWidth="1"/>
    <col min="32" max="32" width="54.140625" style="25" customWidth="1"/>
    <col min="33" max="33" width="24.140625" style="25" bestFit="1" customWidth="1"/>
    <col min="34" max="34" width="28.42578125" style="25" bestFit="1" customWidth="1"/>
    <col min="35" max="35" width="28.85546875" style="25" bestFit="1" customWidth="1"/>
    <col min="36" max="36" width="19.7109375" style="25" bestFit="1" customWidth="1"/>
    <col min="37" max="37" width="24" style="25" bestFit="1" customWidth="1"/>
    <col min="38" max="38" width="24.42578125" style="25" bestFit="1" customWidth="1"/>
    <col min="39" max="39" width="37.7109375" style="25" bestFit="1" customWidth="1"/>
    <col min="40" max="40" width="41.85546875" style="25" bestFit="1" customWidth="1"/>
    <col min="41" max="41" width="42.42578125" style="25" bestFit="1" customWidth="1"/>
    <col min="42" max="42" width="23.85546875" style="25" customWidth="1"/>
    <col min="43" max="43" width="43.140625" style="25" customWidth="1"/>
    <col min="44" max="44" width="51" style="25" customWidth="1"/>
    <col min="45" max="45" width="15.42578125" style="25" customWidth="1"/>
    <col min="46" max="46" width="15.140625" style="25" customWidth="1"/>
    <col min="47" max="47" width="17.85546875" style="25" customWidth="1"/>
    <col min="48" max="48" width="24.42578125" style="25" customWidth="1"/>
    <col min="49" max="49" width="11.7109375" style="25" customWidth="1"/>
    <col min="50" max="50" width="15.42578125" style="25" customWidth="1"/>
    <col min="51" max="51" width="22.28515625" style="25" customWidth="1"/>
    <col min="52" max="52" width="23.7109375" style="25" bestFit="1" customWidth="1"/>
    <col min="53" max="58" width="15.140625" style="25" customWidth="1"/>
    <col min="59" max="59" width="101" style="25" customWidth="1"/>
    <col min="60" max="60" width="15.140625" style="25" customWidth="1"/>
    <col min="61" max="16384" width="8.85546875" style="25"/>
  </cols>
  <sheetData>
    <row r="1" spans="1:60" s="45" customFormat="1">
      <c r="A1" s="141" t="s">
        <v>1670</v>
      </c>
      <c r="B1" s="141" t="s">
        <v>1671</v>
      </c>
      <c r="C1" s="141" t="s">
        <v>1672</v>
      </c>
      <c r="D1" s="141" t="s">
        <v>11</v>
      </c>
      <c r="E1" s="141" t="s">
        <v>82</v>
      </c>
      <c r="F1" s="141" t="s">
        <v>83</v>
      </c>
      <c r="G1" s="141" t="s">
        <v>84</v>
      </c>
      <c r="H1" s="141" t="s">
        <v>85</v>
      </c>
      <c r="I1" s="141" t="s">
        <v>14</v>
      </c>
      <c r="J1" s="141" t="s">
        <v>86</v>
      </c>
      <c r="K1" s="141" t="s">
        <v>20</v>
      </c>
      <c r="L1" s="141" t="s">
        <v>21</v>
      </c>
      <c r="M1" s="141" t="s">
        <v>25</v>
      </c>
      <c r="N1" s="141" t="s">
        <v>27</v>
      </c>
      <c r="O1" s="141" t="s">
        <v>28</v>
      </c>
      <c r="P1" s="91" t="s">
        <v>30</v>
      </c>
      <c r="Q1" s="141" t="s">
        <v>118</v>
      </c>
      <c r="R1" s="141" t="s">
        <v>38</v>
      </c>
      <c r="S1" s="141" t="s">
        <v>119</v>
      </c>
      <c r="T1" s="141" t="s">
        <v>952</v>
      </c>
      <c r="U1" s="141" t="s">
        <v>953</v>
      </c>
      <c r="V1" s="141" t="s">
        <v>954</v>
      </c>
      <c r="W1" s="141" t="s">
        <v>1673</v>
      </c>
      <c r="X1" s="141" t="s">
        <v>956</v>
      </c>
      <c r="Y1" s="141" t="s">
        <v>957</v>
      </c>
      <c r="Z1" s="141" t="s">
        <v>958</v>
      </c>
      <c r="AA1" s="141" t="s">
        <v>959</v>
      </c>
      <c r="AB1" s="141" t="s">
        <v>960</v>
      </c>
      <c r="AC1" s="141" t="s">
        <v>961</v>
      </c>
      <c r="AD1" s="141" t="s">
        <v>87</v>
      </c>
      <c r="AE1" s="153" t="s">
        <v>88</v>
      </c>
      <c r="AF1" s="153" t="s">
        <v>89</v>
      </c>
      <c r="AG1" s="141" t="s">
        <v>94</v>
      </c>
      <c r="AH1" s="141" t="s">
        <v>95</v>
      </c>
      <c r="AI1" s="141" t="s">
        <v>96</v>
      </c>
      <c r="AJ1" s="141" t="s">
        <v>97</v>
      </c>
      <c r="AK1" s="141" t="s">
        <v>98</v>
      </c>
      <c r="AL1" s="141" t="s">
        <v>99</v>
      </c>
      <c r="AM1" s="141" t="s">
        <v>126</v>
      </c>
      <c r="AN1" s="141" t="s">
        <v>127</v>
      </c>
      <c r="AO1" s="141" t="s">
        <v>128</v>
      </c>
      <c r="AP1" s="141" t="s">
        <v>968</v>
      </c>
      <c r="AQ1" s="141" t="s">
        <v>68</v>
      </c>
      <c r="AR1" s="141" t="s">
        <v>70</v>
      </c>
      <c r="AS1" s="141" t="s">
        <v>74</v>
      </c>
      <c r="AT1" s="141" t="s">
        <v>76</v>
      </c>
      <c r="AU1" s="141" t="s">
        <v>62</v>
      </c>
      <c r="AV1" s="141" t="s">
        <v>64</v>
      </c>
      <c r="AW1" s="141" t="s">
        <v>101</v>
      </c>
      <c r="AX1" s="141" t="s">
        <v>102</v>
      </c>
      <c r="AY1" s="141" t="s">
        <v>69</v>
      </c>
      <c r="AZ1" s="141" t="s">
        <v>71</v>
      </c>
      <c r="BA1" s="141" t="s">
        <v>1055</v>
      </c>
      <c r="BB1" s="141" t="s">
        <v>1056</v>
      </c>
      <c r="BC1" s="141" t="s">
        <v>1057</v>
      </c>
      <c r="BD1" s="141" t="s">
        <v>1058</v>
      </c>
      <c r="BE1" s="141" t="s">
        <v>1059</v>
      </c>
      <c r="BF1" s="141" t="s">
        <v>1060</v>
      </c>
      <c r="BG1" s="141" t="s">
        <v>1061</v>
      </c>
      <c r="BH1" s="141" t="s">
        <v>1062</v>
      </c>
    </row>
    <row r="2" spans="1:60" s="58" customFormat="1">
      <c r="A2" s="403" t="s">
        <v>132</v>
      </c>
      <c r="B2" s="62" t="s">
        <v>133</v>
      </c>
      <c r="C2" s="62" t="s">
        <v>1674</v>
      </c>
      <c r="D2" s="155" t="s">
        <v>1675</v>
      </c>
      <c r="E2" s="62" t="s">
        <v>136</v>
      </c>
      <c r="F2" s="62" t="s">
        <v>137</v>
      </c>
      <c r="G2" s="305" t="s">
        <v>138</v>
      </c>
      <c r="H2" s="305" t="s">
        <v>138</v>
      </c>
      <c r="I2" s="305" t="s">
        <v>138</v>
      </c>
      <c r="J2" s="305" t="s">
        <v>138</v>
      </c>
      <c r="K2" s="305" t="s">
        <v>138</v>
      </c>
      <c r="L2" s="305" t="s">
        <v>138</v>
      </c>
      <c r="M2" s="305" t="s">
        <v>138</v>
      </c>
      <c r="N2" s="305" t="s">
        <v>138</v>
      </c>
      <c r="O2" s="305" t="s">
        <v>141</v>
      </c>
      <c r="P2" s="156">
        <v>12</v>
      </c>
      <c r="Q2" s="83" t="s">
        <v>990</v>
      </c>
      <c r="R2" s="83">
        <v>36</v>
      </c>
      <c r="S2" s="109" t="s">
        <v>1676</v>
      </c>
      <c r="T2" s="73" t="s">
        <v>1677</v>
      </c>
      <c r="U2" s="42" t="s">
        <v>141</v>
      </c>
      <c r="V2" s="155" t="s">
        <v>979</v>
      </c>
      <c r="W2" s="62" t="s">
        <v>1678</v>
      </c>
      <c r="X2" s="62" t="s">
        <v>141</v>
      </c>
      <c r="Y2" s="44" t="s">
        <v>979</v>
      </c>
      <c r="Z2" s="62" t="s">
        <v>981</v>
      </c>
      <c r="AA2" s="62" t="s">
        <v>141</v>
      </c>
      <c r="AB2" s="44" t="s">
        <v>979</v>
      </c>
      <c r="AC2" s="62" t="s">
        <v>982</v>
      </c>
      <c r="AD2" s="42" t="s">
        <v>1679</v>
      </c>
      <c r="AE2" s="73" t="s">
        <v>1680</v>
      </c>
      <c r="AF2" s="57" t="s">
        <v>1681</v>
      </c>
      <c r="AG2" s="280">
        <v>850</v>
      </c>
      <c r="AH2" s="280">
        <v>1000</v>
      </c>
      <c r="AI2" s="280">
        <v>1600</v>
      </c>
      <c r="AJ2" s="281">
        <v>30600</v>
      </c>
      <c r="AK2" s="281">
        <v>36000</v>
      </c>
      <c r="AL2" s="281">
        <v>57600</v>
      </c>
      <c r="AM2" s="273" t="e">
        <f>(AJ2/(SUM($AY2:$AZ2)))*12</f>
        <v>#DIV/0!</v>
      </c>
      <c r="AN2" s="273" t="e">
        <f t="shared" ref="AN2:AO2" si="0">(AK2/(SUM($AY2:$AZ2)))*12</f>
        <v>#DIV/0!</v>
      </c>
      <c r="AO2" s="273" t="e">
        <f t="shared" si="0"/>
        <v>#DIV/0!</v>
      </c>
      <c r="AP2" s="83" t="s">
        <v>141</v>
      </c>
      <c r="AQ2" s="62" t="s">
        <v>141</v>
      </c>
      <c r="AR2" s="62" t="s">
        <v>141</v>
      </c>
      <c r="AS2" s="83" t="s">
        <v>1206</v>
      </c>
      <c r="AT2" s="281">
        <v>50000</v>
      </c>
      <c r="AU2" s="83" t="s">
        <v>138</v>
      </c>
      <c r="AV2" s="283" t="s">
        <v>138</v>
      </c>
      <c r="AW2" s="282" t="s">
        <v>138</v>
      </c>
      <c r="AX2" s="83" t="s">
        <v>138</v>
      </c>
      <c r="AY2" s="280"/>
      <c r="AZ2" s="83" t="s">
        <v>138</v>
      </c>
      <c r="BA2" s="83">
        <v>850</v>
      </c>
      <c r="BB2" s="83">
        <v>1000</v>
      </c>
      <c r="BC2" s="83">
        <v>1600</v>
      </c>
      <c r="BD2" s="83">
        <v>30600</v>
      </c>
      <c r="BE2" s="83">
        <v>36000</v>
      </c>
      <c r="BF2" s="83">
        <v>57600</v>
      </c>
      <c r="BG2" s="83" t="s">
        <v>1682</v>
      </c>
      <c r="BH2" s="83" t="s">
        <v>1075</v>
      </c>
    </row>
    <row r="3" spans="1:60">
      <c r="A3" s="141" t="s">
        <v>756</v>
      </c>
      <c r="B3" s="85" t="s">
        <v>757</v>
      </c>
      <c r="C3" s="42" t="s">
        <v>1683</v>
      </c>
      <c r="D3" s="46" t="s">
        <v>1684</v>
      </c>
      <c r="E3" s="57" t="s">
        <v>760</v>
      </c>
      <c r="F3" s="42" t="s">
        <v>170</v>
      </c>
      <c r="G3" s="306">
        <v>697</v>
      </c>
      <c r="H3" s="306">
        <v>323</v>
      </c>
      <c r="I3" s="306">
        <v>3.26</v>
      </c>
      <c r="J3" s="306">
        <v>75</v>
      </c>
      <c r="K3" s="306">
        <v>29</v>
      </c>
      <c r="L3" s="307">
        <v>156</v>
      </c>
      <c r="M3" s="308">
        <v>0.39</v>
      </c>
      <c r="N3" s="308">
        <v>0.31</v>
      </c>
      <c r="O3" s="305" t="s">
        <v>141</v>
      </c>
      <c r="P3" s="42">
        <v>21</v>
      </c>
      <c r="Q3" s="42" t="s">
        <v>990</v>
      </c>
      <c r="R3" s="57" t="s">
        <v>138</v>
      </c>
      <c r="S3" s="42" t="s">
        <v>1685</v>
      </c>
      <c r="T3" s="46" t="s">
        <v>1686</v>
      </c>
      <c r="U3" s="42" t="s">
        <v>141</v>
      </c>
      <c r="V3" s="46" t="s">
        <v>1687</v>
      </c>
      <c r="W3" s="42" t="s">
        <v>1688</v>
      </c>
      <c r="X3" s="42" t="s">
        <v>1679</v>
      </c>
      <c r="Y3" s="46" t="s">
        <v>1689</v>
      </c>
      <c r="Z3" s="42" t="s">
        <v>1690</v>
      </c>
      <c r="AA3" s="42" t="s">
        <v>141</v>
      </c>
      <c r="AB3" s="46" t="s">
        <v>1691</v>
      </c>
      <c r="AC3" s="42" t="s">
        <v>1692</v>
      </c>
      <c r="AD3" s="42" t="s">
        <v>141</v>
      </c>
      <c r="AE3" s="46" t="s">
        <v>1687</v>
      </c>
      <c r="AF3" s="42" t="s">
        <v>1693</v>
      </c>
      <c r="AG3" s="166" t="s">
        <v>138</v>
      </c>
      <c r="AH3" s="166" t="s">
        <v>138</v>
      </c>
      <c r="AI3" s="166" t="s">
        <v>138</v>
      </c>
      <c r="AJ3" s="166">
        <v>40670</v>
      </c>
      <c r="AK3" s="166">
        <v>40670</v>
      </c>
      <c r="AL3" s="166">
        <v>40670</v>
      </c>
      <c r="AM3" s="42" t="s">
        <v>138</v>
      </c>
      <c r="AN3" s="42" t="s">
        <v>138</v>
      </c>
      <c r="AO3" s="42" t="s">
        <v>138</v>
      </c>
      <c r="AP3" s="42" t="s">
        <v>141</v>
      </c>
      <c r="AQ3" s="57" t="s">
        <v>138</v>
      </c>
      <c r="AR3" s="57" t="s">
        <v>138</v>
      </c>
      <c r="AS3" s="42" t="s">
        <v>1694</v>
      </c>
      <c r="AT3" s="99">
        <v>48028</v>
      </c>
      <c r="AU3" s="83" t="s">
        <v>138</v>
      </c>
      <c r="AV3" s="283" t="s">
        <v>138</v>
      </c>
      <c r="AW3" s="41">
        <v>18</v>
      </c>
      <c r="AX3" s="83" t="s">
        <v>138</v>
      </c>
      <c r="AY3" s="42" t="s">
        <v>138</v>
      </c>
      <c r="AZ3" s="42" t="s">
        <v>138</v>
      </c>
      <c r="BA3" s="83" t="s">
        <v>1151</v>
      </c>
      <c r="BB3" s="83" t="s">
        <v>1151</v>
      </c>
      <c r="BC3" s="83" t="s">
        <v>1151</v>
      </c>
      <c r="BD3" s="83">
        <v>166704</v>
      </c>
      <c r="BE3" s="83">
        <v>166704</v>
      </c>
      <c r="BF3" s="83">
        <v>166704</v>
      </c>
      <c r="BG3" s="83" t="s">
        <v>1695</v>
      </c>
      <c r="BH3" s="83" t="s">
        <v>1170</v>
      </c>
    </row>
    <row r="4" spans="1:60">
      <c r="A4" s="141" t="s">
        <v>1636</v>
      </c>
      <c r="B4" s="42" t="s">
        <v>1696</v>
      </c>
      <c r="C4" s="42" t="s">
        <v>1697</v>
      </c>
      <c r="D4" s="46" t="s">
        <v>1698</v>
      </c>
      <c r="E4" s="57" t="s">
        <v>1157</v>
      </c>
      <c r="F4" s="42" t="s">
        <v>679</v>
      </c>
      <c r="G4" s="309" t="s">
        <v>138</v>
      </c>
      <c r="H4" s="309" t="s">
        <v>138</v>
      </c>
      <c r="I4" s="309" t="s">
        <v>138</v>
      </c>
      <c r="J4" s="309" t="s">
        <v>138</v>
      </c>
      <c r="K4" s="309" t="s">
        <v>138</v>
      </c>
      <c r="L4" s="310" t="s">
        <v>138</v>
      </c>
      <c r="M4" s="310" t="s">
        <v>138</v>
      </c>
      <c r="N4" s="310" t="s">
        <v>138</v>
      </c>
      <c r="O4" s="305" t="s">
        <v>141</v>
      </c>
      <c r="P4" s="42">
        <v>12</v>
      </c>
      <c r="Q4" s="42" t="s">
        <v>1699</v>
      </c>
      <c r="R4" s="42">
        <v>36</v>
      </c>
      <c r="S4" s="42" t="s">
        <v>1700</v>
      </c>
      <c r="T4" s="46" t="s">
        <v>1701</v>
      </c>
      <c r="U4" s="42" t="s">
        <v>141</v>
      </c>
      <c r="V4" s="46" t="s">
        <v>1702</v>
      </c>
      <c r="W4" s="42" t="s">
        <v>1703</v>
      </c>
      <c r="X4" s="42" t="s">
        <v>139</v>
      </c>
      <c r="Y4" s="42" t="s">
        <v>138</v>
      </c>
      <c r="Z4" s="42" t="s">
        <v>138</v>
      </c>
      <c r="AA4" s="42" t="s">
        <v>139</v>
      </c>
      <c r="AB4" s="42" t="s">
        <v>138</v>
      </c>
      <c r="AC4" s="42" t="s">
        <v>138</v>
      </c>
      <c r="AD4" s="42" t="s">
        <v>141</v>
      </c>
      <c r="AE4" s="46" t="s">
        <v>1704</v>
      </c>
      <c r="AF4" s="42" t="s">
        <v>1705</v>
      </c>
      <c r="AG4" s="166">
        <v>2746</v>
      </c>
      <c r="AH4" s="166">
        <v>2746</v>
      </c>
      <c r="AI4" s="166">
        <v>2746</v>
      </c>
      <c r="AJ4" s="166">
        <v>98856</v>
      </c>
      <c r="AK4" s="166">
        <v>98856</v>
      </c>
      <c r="AL4" s="166">
        <v>98856</v>
      </c>
      <c r="AM4" s="42" t="s">
        <v>138</v>
      </c>
      <c r="AN4" s="42" t="s">
        <v>138</v>
      </c>
      <c r="AO4" s="42" t="s">
        <v>138</v>
      </c>
      <c r="AP4" s="42" t="s">
        <v>141</v>
      </c>
      <c r="AQ4" s="57" t="s">
        <v>138</v>
      </c>
      <c r="AR4" s="57" t="s">
        <v>138</v>
      </c>
      <c r="AS4" s="42" t="s">
        <v>1255</v>
      </c>
      <c r="AT4" s="289">
        <v>113107</v>
      </c>
      <c r="AU4" s="83" t="s">
        <v>138</v>
      </c>
      <c r="AV4" s="283" t="s">
        <v>138</v>
      </c>
      <c r="AW4" s="46">
        <v>5</v>
      </c>
      <c r="AX4" s="83" t="s">
        <v>138</v>
      </c>
      <c r="AY4" s="42" t="s">
        <v>138</v>
      </c>
      <c r="AZ4" s="42" t="s">
        <v>138</v>
      </c>
      <c r="BA4" s="83">
        <v>2346</v>
      </c>
      <c r="BB4" s="83">
        <v>2346</v>
      </c>
      <c r="BC4" s="83">
        <v>2346</v>
      </c>
      <c r="BD4" s="83">
        <v>84456</v>
      </c>
      <c r="BE4" s="83">
        <v>84456</v>
      </c>
      <c r="BF4" s="83">
        <v>84456</v>
      </c>
      <c r="BG4" s="83" t="s">
        <v>1706</v>
      </c>
      <c r="BH4" s="83" t="s">
        <v>1075</v>
      </c>
    </row>
    <row r="5" spans="1:60">
      <c r="A5" s="141" t="s">
        <v>1707</v>
      </c>
      <c r="B5" s="42" t="s">
        <v>1708</v>
      </c>
      <c r="C5" s="42" t="s">
        <v>1709</v>
      </c>
      <c r="D5" s="46" t="s">
        <v>1710</v>
      </c>
      <c r="E5" s="57" t="s">
        <v>1274</v>
      </c>
      <c r="F5" s="42" t="s">
        <v>679</v>
      </c>
      <c r="G5" s="306">
        <v>700</v>
      </c>
      <c r="H5" s="309" t="s">
        <v>138</v>
      </c>
      <c r="I5" s="309" t="s">
        <v>138</v>
      </c>
      <c r="J5" s="306">
        <v>64</v>
      </c>
      <c r="K5" s="306">
        <v>28</v>
      </c>
      <c r="L5" s="310" t="s">
        <v>138</v>
      </c>
      <c r="M5" s="311">
        <v>0.53400000000000003</v>
      </c>
      <c r="N5" s="311">
        <v>0.41399999999999998</v>
      </c>
      <c r="O5" s="305" t="s">
        <v>141</v>
      </c>
      <c r="P5" s="42">
        <v>12</v>
      </c>
      <c r="Q5" s="42" t="s">
        <v>1711</v>
      </c>
      <c r="R5" s="42">
        <v>60</v>
      </c>
      <c r="S5" s="42" t="s">
        <v>1712</v>
      </c>
      <c r="T5" s="46" t="s">
        <v>1713</v>
      </c>
      <c r="U5" s="42" t="s">
        <v>141</v>
      </c>
      <c r="V5" s="46" t="s">
        <v>1713</v>
      </c>
      <c r="W5" s="42" t="s">
        <v>1714</v>
      </c>
      <c r="X5" s="42" t="s">
        <v>139</v>
      </c>
      <c r="Y5" s="42" t="s">
        <v>138</v>
      </c>
      <c r="Z5" s="42" t="s">
        <v>138</v>
      </c>
      <c r="AA5" s="42" t="s">
        <v>139</v>
      </c>
      <c r="AB5" s="42" t="s">
        <v>138</v>
      </c>
      <c r="AC5" s="42" t="s">
        <v>138</v>
      </c>
      <c r="AD5" s="42" t="s">
        <v>141</v>
      </c>
      <c r="AE5" s="46" t="s">
        <v>1710</v>
      </c>
      <c r="AF5" s="42" t="s">
        <v>1715</v>
      </c>
      <c r="AG5" s="166">
        <v>2256</v>
      </c>
      <c r="AH5" s="166">
        <v>2256</v>
      </c>
      <c r="AI5" s="166">
        <v>2256</v>
      </c>
      <c r="AJ5" s="166">
        <v>135374</v>
      </c>
      <c r="AK5" s="166">
        <v>135374</v>
      </c>
      <c r="AL5" s="166">
        <v>135374</v>
      </c>
      <c r="AM5" s="42" t="s">
        <v>138</v>
      </c>
      <c r="AN5" s="42" t="s">
        <v>138</v>
      </c>
      <c r="AO5" s="42" t="s">
        <v>138</v>
      </c>
      <c r="AP5" s="42" t="s">
        <v>141</v>
      </c>
      <c r="AQ5" s="57" t="s">
        <v>138</v>
      </c>
      <c r="AR5" s="57" t="s">
        <v>138</v>
      </c>
      <c r="AS5" s="42" t="s">
        <v>1282</v>
      </c>
      <c r="AT5" s="99">
        <v>50422</v>
      </c>
      <c r="AU5" s="83" t="s">
        <v>138</v>
      </c>
      <c r="AV5" s="283" t="s">
        <v>138</v>
      </c>
      <c r="AW5" s="41">
        <v>14</v>
      </c>
      <c r="AX5" s="83" t="s">
        <v>138</v>
      </c>
      <c r="AY5" s="42" t="s">
        <v>138</v>
      </c>
      <c r="AZ5" s="42" t="s">
        <v>138</v>
      </c>
      <c r="BA5" s="83" t="s">
        <v>1151</v>
      </c>
      <c r="BB5" s="83" t="s">
        <v>1151</v>
      </c>
      <c r="BC5" s="83" t="s">
        <v>1151</v>
      </c>
      <c r="BD5" s="83">
        <v>135374</v>
      </c>
      <c r="BE5" s="83">
        <v>135374</v>
      </c>
      <c r="BF5" s="83">
        <v>135374</v>
      </c>
      <c r="BG5" s="83" t="s">
        <v>1716</v>
      </c>
      <c r="BH5" s="83" t="s">
        <v>1075</v>
      </c>
    </row>
    <row r="6" spans="1:60">
      <c r="A6" s="141" t="s">
        <v>1113</v>
      </c>
      <c r="B6" s="42" t="s">
        <v>1114</v>
      </c>
      <c r="C6" s="42" t="s">
        <v>1717</v>
      </c>
      <c r="D6" s="46" t="s">
        <v>1718</v>
      </c>
      <c r="E6" s="57" t="s">
        <v>151</v>
      </c>
      <c r="F6" s="42" t="s">
        <v>152</v>
      </c>
      <c r="G6" s="309" t="s">
        <v>138</v>
      </c>
      <c r="H6" s="309" t="s">
        <v>138</v>
      </c>
      <c r="I6" s="309" t="s">
        <v>138</v>
      </c>
      <c r="J6" s="309" t="s">
        <v>138</v>
      </c>
      <c r="K6" s="309" t="s">
        <v>138</v>
      </c>
      <c r="L6" s="310" t="s">
        <v>138</v>
      </c>
      <c r="M6" s="309" t="s">
        <v>138</v>
      </c>
      <c r="N6" s="309" t="s">
        <v>138</v>
      </c>
      <c r="O6" s="305" t="s">
        <v>141</v>
      </c>
      <c r="P6" s="42">
        <v>22</v>
      </c>
      <c r="Q6" s="42" t="s">
        <v>990</v>
      </c>
      <c r="R6" s="42">
        <v>50</v>
      </c>
      <c r="S6" s="42" t="s">
        <v>1719</v>
      </c>
      <c r="T6" s="46" t="s">
        <v>1720</v>
      </c>
      <c r="U6" s="42" t="s">
        <v>141</v>
      </c>
      <c r="V6" s="46" t="s">
        <v>1720</v>
      </c>
      <c r="W6" s="42" t="s">
        <v>1721</v>
      </c>
      <c r="X6" s="42" t="s">
        <v>141</v>
      </c>
      <c r="Y6" s="46" t="s">
        <v>1722</v>
      </c>
      <c r="Z6" s="42" t="s">
        <v>1723</v>
      </c>
      <c r="AA6" s="42" t="s">
        <v>139</v>
      </c>
      <c r="AB6" s="42" t="s">
        <v>138</v>
      </c>
      <c r="AC6" s="42" t="s">
        <v>138</v>
      </c>
      <c r="AD6" s="42" t="s">
        <v>141</v>
      </c>
      <c r="AE6" s="46" t="s">
        <v>1720</v>
      </c>
      <c r="AF6" s="42" t="s">
        <v>1724</v>
      </c>
      <c r="AG6" s="166">
        <v>604</v>
      </c>
      <c r="AH6" s="166">
        <v>872</v>
      </c>
      <c r="AI6" s="166">
        <v>898</v>
      </c>
      <c r="AJ6" s="223">
        <v>30246</v>
      </c>
      <c r="AK6" s="223">
        <v>43646</v>
      </c>
      <c r="AL6" s="223">
        <v>44912</v>
      </c>
      <c r="AM6" s="42" t="s">
        <v>138</v>
      </c>
      <c r="AN6" s="42" t="s">
        <v>138</v>
      </c>
      <c r="AO6" s="42" t="s">
        <v>138</v>
      </c>
      <c r="AP6" s="42" t="s">
        <v>141</v>
      </c>
      <c r="AQ6" s="57" t="s">
        <v>138</v>
      </c>
      <c r="AR6" s="57" t="s">
        <v>138</v>
      </c>
      <c r="AS6" s="42" t="s">
        <v>1725</v>
      </c>
      <c r="AT6" s="99">
        <v>46953</v>
      </c>
      <c r="AU6" s="83" t="s">
        <v>138</v>
      </c>
      <c r="AV6" s="283" t="s">
        <v>138</v>
      </c>
      <c r="AW6" s="46">
        <v>20</v>
      </c>
      <c r="AX6" s="83" t="s">
        <v>138</v>
      </c>
      <c r="AY6" s="42" t="s">
        <v>138</v>
      </c>
      <c r="AZ6" s="42" t="s">
        <v>138</v>
      </c>
      <c r="BA6" s="83" t="s">
        <v>1151</v>
      </c>
      <c r="BB6" s="83" t="s">
        <v>1151</v>
      </c>
      <c r="BC6" s="83" t="s">
        <v>1151</v>
      </c>
      <c r="BD6" s="83">
        <v>84563</v>
      </c>
      <c r="BE6" s="83">
        <v>84563</v>
      </c>
      <c r="BF6" s="83">
        <v>84563</v>
      </c>
      <c r="BG6" s="83" t="s">
        <v>1726</v>
      </c>
      <c r="BH6" s="83" t="s">
        <v>1170</v>
      </c>
    </row>
    <row r="7" spans="1:60">
      <c r="A7" s="141" t="s">
        <v>1646</v>
      </c>
      <c r="B7" s="42" t="s">
        <v>1727</v>
      </c>
      <c r="C7" s="42" t="s">
        <v>1728</v>
      </c>
      <c r="D7" s="46" t="s">
        <v>1729</v>
      </c>
      <c r="E7" s="57" t="s">
        <v>1650</v>
      </c>
      <c r="F7" s="42" t="s">
        <v>231</v>
      </c>
      <c r="G7" s="309" t="s">
        <v>138</v>
      </c>
      <c r="H7" s="309" t="s">
        <v>138</v>
      </c>
      <c r="I7" s="309" t="s">
        <v>138</v>
      </c>
      <c r="J7" s="309" t="s">
        <v>138</v>
      </c>
      <c r="K7" s="309" t="s">
        <v>138</v>
      </c>
      <c r="L7" s="307">
        <v>45</v>
      </c>
      <c r="M7" s="309" t="s">
        <v>138</v>
      </c>
      <c r="N7" s="309" t="s">
        <v>138</v>
      </c>
      <c r="O7" s="305" t="s">
        <v>141</v>
      </c>
      <c r="P7" s="42">
        <v>18</v>
      </c>
      <c r="Q7" s="42" t="s">
        <v>1097</v>
      </c>
      <c r="R7" s="42">
        <v>20.5</v>
      </c>
      <c r="S7" s="42" t="s">
        <v>1730</v>
      </c>
      <c r="T7" s="46" t="s">
        <v>1731</v>
      </c>
      <c r="U7" s="42" t="s">
        <v>141</v>
      </c>
      <c r="V7" s="46" t="s">
        <v>1732</v>
      </c>
      <c r="W7" s="42" t="s">
        <v>1733</v>
      </c>
      <c r="X7" s="42" t="s">
        <v>139</v>
      </c>
      <c r="Y7" s="42" t="s">
        <v>138</v>
      </c>
      <c r="Z7" s="42" t="s">
        <v>138</v>
      </c>
      <c r="AA7" s="42" t="s">
        <v>139</v>
      </c>
      <c r="AB7" s="42" t="s">
        <v>138</v>
      </c>
      <c r="AC7" s="42" t="s">
        <v>138</v>
      </c>
      <c r="AD7" s="42" t="s">
        <v>141</v>
      </c>
      <c r="AE7" s="46" t="s">
        <v>1734</v>
      </c>
      <c r="AF7" s="42" t="s">
        <v>1735</v>
      </c>
      <c r="AG7" s="166">
        <v>4282</v>
      </c>
      <c r="AH7" s="166">
        <v>4282</v>
      </c>
      <c r="AI7" s="166">
        <v>4282</v>
      </c>
      <c r="AJ7" s="166">
        <v>87795</v>
      </c>
      <c r="AK7" s="166">
        <v>87795</v>
      </c>
      <c r="AL7" s="166">
        <v>87795</v>
      </c>
      <c r="AM7" s="273">
        <f>(AJ7/(SUM($AY7:$AZ7)))*12</f>
        <v>4.8331291889734525</v>
      </c>
      <c r="AN7" s="273">
        <f t="shared" ref="AN7" si="1">(AK7/(SUM($AY7:$AZ7)))*12</f>
        <v>4.8331291889734525</v>
      </c>
      <c r="AO7" s="273">
        <f t="shared" ref="AO7" si="2">(AL7/(SUM($AY7:$AZ7)))*12</f>
        <v>4.8331291889734525</v>
      </c>
      <c r="AP7" s="42" t="s">
        <v>141</v>
      </c>
      <c r="AQ7" s="57" t="s">
        <v>138</v>
      </c>
      <c r="AR7" s="57" t="s">
        <v>138</v>
      </c>
      <c r="AS7" s="42" t="s">
        <v>1736</v>
      </c>
      <c r="AT7" s="99">
        <v>65392</v>
      </c>
      <c r="AU7" s="83" t="s">
        <v>138</v>
      </c>
      <c r="AV7" s="283" t="s">
        <v>138</v>
      </c>
      <c r="AW7" s="46">
        <v>6</v>
      </c>
      <c r="AX7" s="83" t="s">
        <v>138</v>
      </c>
      <c r="AY7" s="166">
        <v>187983</v>
      </c>
      <c r="AZ7" s="166">
        <v>30000</v>
      </c>
      <c r="BA7" s="83">
        <v>4432.68</v>
      </c>
      <c r="BB7" s="83">
        <v>4432.68</v>
      </c>
      <c r="BC7" s="83">
        <v>4432.68</v>
      </c>
      <c r="BD7" s="83">
        <v>90870</v>
      </c>
      <c r="BE7" s="83">
        <v>90870</v>
      </c>
      <c r="BF7" s="83">
        <v>90870</v>
      </c>
      <c r="BG7" s="83" t="s">
        <v>1737</v>
      </c>
      <c r="BH7" s="83" t="s">
        <v>1075</v>
      </c>
    </row>
    <row r="8" spans="1:60">
      <c r="S8" s="31"/>
    </row>
    <row r="9" spans="1:60" ht="60.75">
      <c r="A9" s="312" t="s">
        <v>1738</v>
      </c>
    </row>
  </sheetData>
  <hyperlinks>
    <hyperlink ref="D5" r:id="rId1" xr:uid="{0D26BC36-947A-4432-ADE1-E81CA80138C9}"/>
    <hyperlink ref="D4" r:id="rId2" xr:uid="{3971BB41-B243-4319-93C5-0D64F31BCB2E}"/>
    <hyperlink ref="D7" r:id="rId3" xr:uid="{D04FDCFB-CCC1-4E17-B711-538EE3596098}"/>
    <hyperlink ref="D3" r:id="rId4" xr:uid="{48FE5306-9A16-4C3D-9911-AD30F2AF03C4}"/>
    <hyperlink ref="D6" r:id="rId5" xr:uid="{EB3CF0D9-D270-49D3-A157-61B39DB820AF}"/>
    <hyperlink ref="D2" r:id="rId6" xr:uid="{38C0A009-2629-4ED8-A964-61278037D84D}"/>
    <hyperlink ref="B3" r:id="rId7" xr:uid="{D06205DA-7B1D-471A-A93E-520F4A7CE2D5}"/>
    <hyperlink ref="G3" r:id="rId8" location=":~:text=A%20Flourish%20chart-,GMAT,-697" display="697" xr:uid="{463E032F-DFB8-4EC1-9345-745557E5AD8F}"/>
    <hyperlink ref="H3" r:id="rId9" location=":~:text=Middle%2080%25-,GRE,-323" display="323" xr:uid="{91326339-BF4B-4B6F-B0CE-0E1936E4D021}"/>
    <hyperlink ref="I3" r:id="rId10" location=":~:text=Middle%2080%25-,GPA,-3.26" display="3.26" xr:uid="{E9E7DE13-076C-4E1C-B1B4-FB45216B634C}"/>
    <hyperlink ref="K3" r:id="rId11" location=":~:text=Southwest%0A11%25%C2%A0%20%C2%A0South-,Age,-29" display="29" xr:uid="{D0CC74DD-641B-4D4F-9B76-027EA48EEC26}"/>
    <hyperlink ref="J3" r:id="rId12" location=":~:text=Middle%2080%25-,Work%20Experience,-6.3" display="75" xr:uid="{72E774D1-34E3-411D-882D-5C467C0C320F}"/>
    <hyperlink ref="S2" r:id="rId13" location=":~:text=Specialized%20Learning%20Pathway%3A%C2%A0" xr:uid="{85B98311-30A4-4184-B773-352AC62CBA21}"/>
    <hyperlink ref="T4" r:id="rId14" xr:uid="{749D6189-4E73-416F-B152-D021BC6D1FB0}"/>
    <hyperlink ref="V4" r:id="rId15" xr:uid="{595DF6D3-4049-4E86-8D6A-5398D52E9A9C}"/>
    <hyperlink ref="AE4" r:id="rId16" xr:uid="{46B0B084-E1D4-4523-9D47-B19BC68452A8}"/>
    <hyperlink ref="T5" r:id="rId17" xr:uid="{C219A5B2-E2E0-405E-9CA5-3FBED8F904E9}"/>
    <hyperlink ref="V5" r:id="rId18" xr:uid="{6F943343-430A-4D59-9307-260E88F5363F}"/>
    <hyperlink ref="AE5" r:id="rId19" xr:uid="{570D263A-C4E4-4E04-8F83-BA0FF84091D5}"/>
    <hyperlink ref="T6" r:id="rId20" xr:uid="{8F23C804-0603-492D-A68B-FA8E70EE4D6C}"/>
    <hyperlink ref="V6" r:id="rId21" xr:uid="{72373BDB-AC67-48A5-8C85-4890B43C4856}"/>
    <hyperlink ref="AE6" r:id="rId22" xr:uid="{34AB4097-B9FD-4D30-A092-5F499ABFE732}"/>
    <hyperlink ref="T7" r:id="rId23" xr:uid="{2608D989-55F9-40D2-AC85-3AA98AD0E09C}"/>
    <hyperlink ref="V7" r:id="rId24" xr:uid="{34816CAC-1358-4AD3-824C-EFF1403A0B0F}"/>
    <hyperlink ref="AE7" r:id="rId25" xr:uid="{1343AC1D-E0DB-4BC5-A3C6-1ABF32FE8397}"/>
    <hyperlink ref="T3" r:id="rId26" xr:uid="{F8DA4357-F879-4979-A980-3FC29120C636}"/>
    <hyperlink ref="V3" r:id="rId27" xr:uid="{41C911FE-6236-47F7-A28F-C930D5B54C8F}"/>
    <hyperlink ref="Y3" r:id="rId28" xr:uid="{5E109940-FA1F-4563-AA6F-6E1BF49AF578}"/>
    <hyperlink ref="AB3" r:id="rId29" xr:uid="{09069BA6-F47C-4A9A-82E4-C5EB9B301958}"/>
    <hyperlink ref="AE3" r:id="rId30" xr:uid="{6E33EF73-AB52-46B3-9F8C-682132A1092A}"/>
    <hyperlink ref="Y6" r:id="rId31" xr:uid="{C45EDCF1-6BE1-497A-A5C2-74527984F28A}"/>
    <hyperlink ref="Y2" r:id="rId32" xr:uid="{4A8596FB-8F7A-4EFF-88EE-3A37158A868C}"/>
    <hyperlink ref="AB2" r:id="rId33" xr:uid="{AAF54ECC-1470-4417-9299-880A5B6AF0DC}"/>
    <hyperlink ref="V2" r:id="rId34" xr:uid="{890D9382-6351-47A0-83B7-5C01F7B3D337}"/>
    <hyperlink ref="T2" r:id="rId35" xr:uid="{1563EE98-95DA-4303-9F4D-3B0EEA01A30D}"/>
    <hyperlink ref="AE2" r:id="rId36" xr:uid="{95937DFF-211D-4CA2-9D24-442093DFF8E3}"/>
    <hyperlink ref="AW2:AW7" r:id="rId37" display="-" xr:uid="{80F09AC2-2994-4CB0-AF5F-CF9583E0ED40}"/>
    <hyperlink ref="AG2:AI2" r:id="rId38" display="850" xr:uid="{B2A0A366-1AC2-40F8-A524-EB40C8748C7F}"/>
    <hyperlink ref="AJ6:AL6" r:id="rId39" display="30246" xr:uid="{55C3B663-5A4F-4EE1-8964-AB723D51669E}"/>
  </hyperlinks>
  <pageMargins left="0.7" right="0.7" top="0.75" bottom="0.75" header="0.3" footer="0.3"/>
  <legacyDrawing r:id="rId4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10A6-148D-4278-B92F-93A1B526B809}">
  <sheetPr>
    <tabColor rgb="FFFFFF00"/>
  </sheetPr>
  <dimension ref="A1:BK16"/>
  <sheetViews>
    <sheetView workbookViewId="0">
      <pane xSplit="1" ySplit="1" topLeftCell="AD2" activePane="bottomRight" state="frozen"/>
      <selection pane="bottomRight" activeCell="AF21" sqref="AF21"/>
      <selection pane="bottomLeft"/>
      <selection pane="topRight"/>
    </sheetView>
  </sheetViews>
  <sheetFormatPr defaultColWidth="8.85546875" defaultRowHeight="15" customHeight="1"/>
  <cols>
    <col min="1" max="1" width="29.28515625" style="26" bestFit="1" customWidth="1"/>
    <col min="2" max="2" width="58.42578125" style="26" customWidth="1"/>
    <col min="3" max="3" width="49" style="26" customWidth="1"/>
    <col min="4" max="4" width="15.42578125" style="26" customWidth="1"/>
    <col min="5" max="5" width="14.28515625" style="26" customWidth="1"/>
    <col min="6" max="6" width="13.7109375" style="26" customWidth="1"/>
    <col min="7" max="7" width="13.42578125" style="26" customWidth="1"/>
    <col min="8" max="8" width="12.28515625" style="26" bestFit="1" customWidth="1"/>
    <col min="9" max="9" width="25.140625" style="26" customWidth="1"/>
    <col min="10" max="10" width="22.85546875" style="26" customWidth="1"/>
    <col min="11" max="14" width="23" style="26" bestFit="1" customWidth="1"/>
    <col min="15" max="15" width="17.140625" style="26" customWidth="1"/>
    <col min="16" max="16" width="16.42578125" style="26" customWidth="1"/>
    <col min="17" max="17" width="20" style="26" bestFit="1" customWidth="1"/>
    <col min="18" max="18" width="12.140625" style="26" bestFit="1" customWidth="1"/>
    <col min="19" max="19" width="27.42578125" style="26" customWidth="1"/>
    <col min="20" max="20" width="15.140625" style="26" customWidth="1"/>
    <col min="21" max="21" width="27.42578125" style="26" customWidth="1"/>
    <col min="22" max="22" width="25.42578125" style="26" customWidth="1"/>
    <col min="23" max="23" width="36.42578125" style="26" customWidth="1"/>
    <col min="24" max="24" width="32.28515625" style="26" customWidth="1"/>
    <col min="25" max="25" width="29.42578125" style="26" customWidth="1"/>
    <col min="26" max="26" width="40.42578125" style="26" customWidth="1"/>
    <col min="27" max="27" width="28.28515625" style="26" customWidth="1"/>
    <col min="28" max="28" width="104.42578125" style="26" customWidth="1"/>
    <col min="29" max="29" width="36.140625" style="26" customWidth="1"/>
    <col min="30" max="30" width="47.28515625" style="26" customWidth="1"/>
    <col min="31" max="31" width="42.42578125" style="26" customWidth="1"/>
    <col min="32" max="32" width="73.42578125" style="26" customWidth="1"/>
    <col min="33" max="35" width="30.7109375" style="26" bestFit="1" customWidth="1"/>
    <col min="36" max="36" width="19.7109375" style="26" bestFit="1" customWidth="1"/>
    <col min="37" max="37" width="24" style="26" bestFit="1" customWidth="1"/>
    <col min="38" max="38" width="24.42578125" style="26" bestFit="1" customWidth="1"/>
    <col min="39" max="39" width="37.7109375" style="26" bestFit="1" customWidth="1"/>
    <col min="40" max="40" width="41.85546875" style="26" bestFit="1" customWidth="1"/>
    <col min="41" max="41" width="42.42578125" style="26" bestFit="1" customWidth="1"/>
    <col min="42" max="42" width="27.42578125" style="26" customWidth="1"/>
    <col min="43" max="43" width="40.42578125" style="26" customWidth="1"/>
    <col min="44" max="44" width="22.42578125" style="26" customWidth="1"/>
    <col min="45" max="45" width="22.85546875" style="26" customWidth="1"/>
    <col min="46" max="48" width="28.42578125" style="26" customWidth="1"/>
    <col min="49" max="49" width="23.85546875" style="26" customWidth="1"/>
    <col min="50" max="50" width="43.140625" style="26" customWidth="1"/>
    <col min="51" max="51" width="51" style="26" customWidth="1"/>
    <col min="52" max="52" width="23.7109375" style="26" bestFit="1" customWidth="1"/>
    <col min="53" max="53" width="15.140625" style="26" customWidth="1"/>
    <col min="54" max="54" width="17.85546875" style="26" customWidth="1"/>
    <col min="55" max="55" width="24.42578125" style="26" customWidth="1"/>
    <col min="56" max="56" width="11.7109375" style="26" customWidth="1"/>
    <col min="57" max="57" width="15.42578125" style="26" customWidth="1"/>
    <col min="58" max="58" width="22.28515625" style="26" customWidth="1"/>
    <col min="59" max="59" width="22.140625" style="26" customWidth="1"/>
    <col min="60" max="61" width="8.85546875" style="26"/>
    <col min="62" max="62" width="75.28515625" style="26" customWidth="1"/>
    <col min="63" max="16384" width="8.85546875" style="26"/>
  </cols>
  <sheetData>
    <row r="1" spans="1:63" s="290" customFormat="1" ht="15" customHeight="1">
      <c r="A1" s="314" t="s">
        <v>4</v>
      </c>
      <c r="B1" s="314" t="s">
        <v>117</v>
      </c>
      <c r="C1" s="314" t="s">
        <v>7</v>
      </c>
      <c r="D1" s="314" t="s">
        <v>11</v>
      </c>
      <c r="E1" s="314" t="s">
        <v>82</v>
      </c>
      <c r="F1" s="314" t="s">
        <v>83</v>
      </c>
      <c r="G1" s="314" t="s">
        <v>84</v>
      </c>
      <c r="H1" s="314" t="s">
        <v>85</v>
      </c>
      <c r="I1" s="314" t="s">
        <v>14</v>
      </c>
      <c r="J1" s="314" t="s">
        <v>86</v>
      </c>
      <c r="K1" s="314" t="s">
        <v>20</v>
      </c>
      <c r="L1" s="314" t="s">
        <v>21</v>
      </c>
      <c r="M1" s="314" t="s">
        <v>25</v>
      </c>
      <c r="N1" s="314" t="s">
        <v>27</v>
      </c>
      <c r="O1" s="314" t="s">
        <v>28</v>
      </c>
      <c r="P1" s="184" t="s">
        <v>30</v>
      </c>
      <c r="Q1" s="314" t="s">
        <v>118</v>
      </c>
      <c r="R1" s="314" t="s">
        <v>38</v>
      </c>
      <c r="S1" s="314" t="s">
        <v>119</v>
      </c>
      <c r="T1" s="314" t="s">
        <v>952</v>
      </c>
      <c r="U1" s="314" t="s">
        <v>953</v>
      </c>
      <c r="V1" s="314" t="s">
        <v>954</v>
      </c>
      <c r="W1" s="314" t="s">
        <v>955</v>
      </c>
      <c r="X1" s="314" t="s">
        <v>956</v>
      </c>
      <c r="Y1" s="314" t="s">
        <v>957</v>
      </c>
      <c r="Z1" s="314" t="s">
        <v>958</v>
      </c>
      <c r="AA1" s="314" t="s">
        <v>959</v>
      </c>
      <c r="AB1" s="314" t="s">
        <v>960</v>
      </c>
      <c r="AC1" s="314" t="s">
        <v>961</v>
      </c>
      <c r="AD1" s="314" t="s">
        <v>87</v>
      </c>
      <c r="AE1" s="107" t="s">
        <v>88</v>
      </c>
      <c r="AF1" s="107" t="s">
        <v>89</v>
      </c>
      <c r="AG1" s="314" t="s">
        <v>94</v>
      </c>
      <c r="AH1" s="314" t="s">
        <v>95</v>
      </c>
      <c r="AI1" s="314" t="s">
        <v>96</v>
      </c>
      <c r="AJ1" s="314" t="s">
        <v>97</v>
      </c>
      <c r="AK1" s="314" t="s">
        <v>98</v>
      </c>
      <c r="AL1" s="314" t="s">
        <v>99</v>
      </c>
      <c r="AM1" s="314" t="s">
        <v>126</v>
      </c>
      <c r="AN1" s="314" t="s">
        <v>127</v>
      </c>
      <c r="AO1" s="314" t="s">
        <v>128</v>
      </c>
      <c r="AP1" s="314" t="s">
        <v>968</v>
      </c>
      <c r="AQ1" s="314" t="s">
        <v>68</v>
      </c>
      <c r="AR1" s="314" t="s">
        <v>70</v>
      </c>
      <c r="AS1" s="314" t="s">
        <v>74</v>
      </c>
      <c r="AT1" s="314" t="s">
        <v>76</v>
      </c>
      <c r="AU1" s="284" t="s">
        <v>62</v>
      </c>
      <c r="AV1" s="284" t="s">
        <v>64</v>
      </c>
      <c r="AW1" s="284" t="s">
        <v>101</v>
      </c>
      <c r="AX1" s="285" t="s">
        <v>102</v>
      </c>
      <c r="AY1" s="285" t="s">
        <v>69</v>
      </c>
      <c r="AZ1" s="285" t="s">
        <v>71</v>
      </c>
      <c r="BA1" s="387" t="s">
        <v>969</v>
      </c>
      <c r="BB1" s="387" t="s">
        <v>970</v>
      </c>
      <c r="BC1" s="387" t="s">
        <v>971</v>
      </c>
      <c r="BD1" s="387" t="s">
        <v>1055</v>
      </c>
      <c r="BE1" s="387" t="s">
        <v>1056</v>
      </c>
      <c r="BF1" s="387" t="s">
        <v>1057</v>
      </c>
      <c r="BG1" s="387" t="s">
        <v>1058</v>
      </c>
      <c r="BH1" s="387" t="s">
        <v>1059</v>
      </c>
      <c r="BI1" s="387" t="s">
        <v>1060</v>
      </c>
      <c r="BJ1" s="387" t="s">
        <v>1061</v>
      </c>
      <c r="BK1" s="387" t="s">
        <v>1062</v>
      </c>
    </row>
    <row r="2" spans="1:63" s="290" customFormat="1" ht="15" customHeight="1">
      <c r="A2" s="314" t="s">
        <v>132</v>
      </c>
      <c r="B2" s="316" t="s">
        <v>133</v>
      </c>
      <c r="C2" s="316" t="s">
        <v>1739</v>
      </c>
      <c r="D2" s="73" t="s">
        <v>1740</v>
      </c>
      <c r="E2" s="316" t="s">
        <v>136</v>
      </c>
      <c r="F2" s="317" t="s">
        <v>137</v>
      </c>
      <c r="G2" s="317" t="s">
        <v>390</v>
      </c>
      <c r="H2" s="317" t="s">
        <v>390</v>
      </c>
      <c r="I2" s="73">
        <v>3.6</v>
      </c>
      <c r="J2" s="73" t="s">
        <v>1741</v>
      </c>
      <c r="K2" s="73" t="s">
        <v>1742</v>
      </c>
      <c r="L2" s="317" t="s">
        <v>1742</v>
      </c>
      <c r="M2" s="317" t="s">
        <v>1742</v>
      </c>
      <c r="N2" s="317" t="s">
        <v>1742</v>
      </c>
      <c r="O2" s="317" t="s">
        <v>141</v>
      </c>
      <c r="P2" s="337" t="s">
        <v>1743</v>
      </c>
      <c r="Q2" s="317" t="s">
        <v>990</v>
      </c>
      <c r="R2" s="316">
        <v>44</v>
      </c>
      <c r="S2" s="316" t="s">
        <v>1744</v>
      </c>
      <c r="T2" s="73" t="s">
        <v>1745</v>
      </c>
      <c r="U2" s="317" t="s">
        <v>141</v>
      </c>
      <c r="V2" s="73" t="s">
        <v>1746</v>
      </c>
      <c r="W2" s="316" t="s">
        <v>1747</v>
      </c>
      <c r="X2" s="316" t="s">
        <v>1748</v>
      </c>
      <c r="Y2" s="46" t="s">
        <v>1749</v>
      </c>
      <c r="Z2" s="316" t="s">
        <v>1750</v>
      </c>
      <c r="AA2" s="316" t="s">
        <v>1742</v>
      </c>
      <c r="AB2" s="46" t="s">
        <v>1742</v>
      </c>
      <c r="AC2" s="316" t="s">
        <v>1742</v>
      </c>
      <c r="AD2" s="317" t="s">
        <v>141</v>
      </c>
      <c r="AE2" s="73" t="s">
        <v>1746</v>
      </c>
      <c r="AF2" s="316" t="s">
        <v>1751</v>
      </c>
      <c r="AG2" s="318">
        <v>1049</v>
      </c>
      <c r="AH2" s="318">
        <v>1327</v>
      </c>
      <c r="AI2" s="318">
        <v>1350</v>
      </c>
      <c r="AJ2" s="318">
        <v>46156</v>
      </c>
      <c r="AK2" s="318">
        <v>58388</v>
      </c>
      <c r="AL2" s="318">
        <v>59400</v>
      </c>
      <c r="AM2" s="319">
        <f>(AJ2/(SUM(AY2:AZ2)))*12</f>
        <v>4.330508209538702</v>
      </c>
      <c r="AN2" s="319">
        <f>(AK2/(SUM(AY2:AZ2)))*12</f>
        <v>5.4781548084440965</v>
      </c>
      <c r="AO2" s="319">
        <f>(AL2/(SUM(AY2:AZ2)))*12</f>
        <v>5.5731039874902271</v>
      </c>
      <c r="AP2" s="317" t="s">
        <v>141</v>
      </c>
      <c r="AQ2" s="317" t="s">
        <v>1742</v>
      </c>
      <c r="AR2" s="317" t="s">
        <v>138</v>
      </c>
      <c r="AS2" s="316" t="s">
        <v>138</v>
      </c>
      <c r="AT2" s="320">
        <v>50000</v>
      </c>
      <c r="AU2" s="317" t="s">
        <v>138</v>
      </c>
      <c r="AV2" s="73">
        <v>6</v>
      </c>
      <c r="AW2" s="317" t="s">
        <v>138</v>
      </c>
      <c r="AX2" s="317" t="s">
        <v>1752</v>
      </c>
      <c r="AY2" s="318">
        <v>127900</v>
      </c>
      <c r="AZ2" s="316" t="s">
        <v>138</v>
      </c>
      <c r="BA2" s="315">
        <f>(AY2-(AJ2+AT2))/(AJ2+AT2)</f>
        <v>0.33013020508340613</v>
      </c>
      <c r="BB2" s="26">
        <f>(AY2-(AK2+AT2))/(AK2+AT2)</f>
        <v>0.18001992840535852</v>
      </c>
      <c r="BC2" s="404">
        <f>(AY2-(AL2+AT2))/(AL2+AT2)</f>
        <v>0.16910420475319926</v>
      </c>
      <c r="BD2" s="404">
        <v>900</v>
      </c>
      <c r="BE2" s="404">
        <v>1327</v>
      </c>
      <c r="BF2" s="404">
        <v>1350</v>
      </c>
      <c r="BG2" s="404">
        <v>39600</v>
      </c>
      <c r="BH2" s="404">
        <v>58388</v>
      </c>
      <c r="BI2" s="404">
        <v>59400</v>
      </c>
      <c r="BJ2" s="404" t="s">
        <v>1753</v>
      </c>
      <c r="BK2" s="404" t="s">
        <v>1170</v>
      </c>
    </row>
    <row r="3" spans="1:63" ht="15" customHeight="1">
      <c r="A3" s="314" t="s">
        <v>1646</v>
      </c>
      <c r="B3" s="317" t="s">
        <v>1754</v>
      </c>
      <c r="C3" s="317" t="s">
        <v>1739</v>
      </c>
      <c r="D3" s="46" t="s">
        <v>1755</v>
      </c>
      <c r="E3" s="317" t="s">
        <v>1650</v>
      </c>
      <c r="F3" s="317" t="s">
        <v>231</v>
      </c>
      <c r="G3" s="317">
        <v>731</v>
      </c>
      <c r="H3" s="317" t="s">
        <v>1756</v>
      </c>
      <c r="I3" s="317">
        <v>3.7</v>
      </c>
      <c r="J3" s="317">
        <v>62</v>
      </c>
      <c r="K3" s="317">
        <v>28</v>
      </c>
      <c r="L3" s="317">
        <v>129</v>
      </c>
      <c r="M3" s="321">
        <v>0.43</v>
      </c>
      <c r="N3" s="321">
        <v>0.43</v>
      </c>
      <c r="O3" s="317" t="s">
        <v>141</v>
      </c>
      <c r="P3" s="317">
        <v>12</v>
      </c>
      <c r="Q3" s="317" t="s">
        <v>1711</v>
      </c>
      <c r="R3" s="317">
        <v>15.5</v>
      </c>
      <c r="S3" s="317" t="s">
        <v>1757</v>
      </c>
      <c r="T3" s="46" t="s">
        <v>120</v>
      </c>
      <c r="U3" s="317" t="s">
        <v>237</v>
      </c>
      <c r="V3" s="46" t="s">
        <v>1758</v>
      </c>
      <c r="W3" s="317" t="s">
        <v>1759</v>
      </c>
      <c r="X3" s="317" t="s">
        <v>237</v>
      </c>
      <c r="Y3" s="46" t="s">
        <v>1760</v>
      </c>
      <c r="Z3" s="317" t="s">
        <v>1761</v>
      </c>
      <c r="AA3" s="317" t="s">
        <v>141</v>
      </c>
      <c r="AB3" s="46" t="s">
        <v>1762</v>
      </c>
      <c r="AC3" s="317" t="s">
        <v>1763</v>
      </c>
      <c r="AD3" s="317" t="s">
        <v>141</v>
      </c>
      <c r="AE3" s="46" t="s">
        <v>1764</v>
      </c>
      <c r="AF3" s="317" t="s">
        <v>1765</v>
      </c>
      <c r="AG3" s="99">
        <f>AJ3/R3</f>
        <v>7256.5161290322585</v>
      </c>
      <c r="AH3" s="99">
        <f>AK3/R3</f>
        <v>7256.5161290322585</v>
      </c>
      <c r="AI3" s="99">
        <f>AL3/R3</f>
        <v>7256.5161290322585</v>
      </c>
      <c r="AJ3" s="320">
        <v>112476</v>
      </c>
      <c r="AK3" s="320">
        <v>112476</v>
      </c>
      <c r="AL3" s="320">
        <v>112476</v>
      </c>
      <c r="AM3" s="319">
        <f t="shared" ref="AM3:AM12" si="0">(AJ3/(SUM(AY3:AZ3)))*12</f>
        <v>6.5839609756097559</v>
      </c>
      <c r="AN3" s="319">
        <f t="shared" ref="AN3:AN12" si="1">(AK3/(SUM(AY3:AZ3)))*12</f>
        <v>6.5839609756097559</v>
      </c>
      <c r="AO3" s="319">
        <f t="shared" ref="AO3:AO12" si="2">(AL3/(SUM(AY3:AZ3)))*12</f>
        <v>6.5839609756097559</v>
      </c>
      <c r="AP3" s="317" t="s">
        <v>141</v>
      </c>
      <c r="AQ3" s="317" t="s">
        <v>303</v>
      </c>
      <c r="AR3" s="317" t="s">
        <v>138</v>
      </c>
      <c r="AS3" s="317" t="s">
        <v>138</v>
      </c>
      <c r="AT3" s="99">
        <v>65392</v>
      </c>
      <c r="AU3" s="46">
        <v>2</v>
      </c>
      <c r="AV3" s="73">
        <v>10</v>
      </c>
      <c r="AW3" s="46">
        <v>6</v>
      </c>
      <c r="AX3" s="321">
        <v>0.95</v>
      </c>
      <c r="AY3" s="320">
        <v>175000</v>
      </c>
      <c r="AZ3" s="320">
        <v>30000</v>
      </c>
      <c r="BA3" s="315">
        <f t="shared" ref="BA3:BA12" si="3">(AY3-(AJ3+AT3))/(AJ3+AT3)</f>
        <v>-1.6124316909168598E-2</v>
      </c>
      <c r="BB3" s="26">
        <f t="shared" ref="BB3:BB12" si="4">(AY3-(AK3+AT3))/(AK3+AT3)</f>
        <v>-1.6124316909168598E-2</v>
      </c>
      <c r="BC3" s="404">
        <f t="shared" ref="BC3:BC12" si="5">(AY3-(AL3+AT3))/(AL3+AT3)</f>
        <v>-1.6124316909168598E-2</v>
      </c>
      <c r="BD3" s="404" t="s">
        <v>1151</v>
      </c>
      <c r="BE3" s="404" t="s">
        <v>1151</v>
      </c>
      <c r="BF3" s="404" t="s">
        <v>1151</v>
      </c>
      <c r="BG3" s="404">
        <v>115160</v>
      </c>
      <c r="BH3" s="404">
        <v>115160</v>
      </c>
      <c r="BI3" s="404">
        <v>115160</v>
      </c>
      <c r="BJ3" s="404" t="s">
        <v>1766</v>
      </c>
      <c r="BK3" s="404" t="s">
        <v>1075</v>
      </c>
    </row>
    <row r="4" spans="1:63" ht="15" customHeight="1">
      <c r="A4" s="314" t="s">
        <v>1707</v>
      </c>
      <c r="B4" s="317" t="s">
        <v>1767</v>
      </c>
      <c r="C4" s="317" t="s">
        <v>1768</v>
      </c>
      <c r="D4" s="46" t="s">
        <v>1769</v>
      </c>
      <c r="E4" s="317" t="s">
        <v>1274</v>
      </c>
      <c r="F4" s="317" t="s">
        <v>679</v>
      </c>
      <c r="G4" s="317">
        <v>710</v>
      </c>
      <c r="H4" s="317" t="s">
        <v>1770</v>
      </c>
      <c r="I4" s="317">
        <v>3.33</v>
      </c>
      <c r="J4" s="41">
        <v>67</v>
      </c>
      <c r="K4" s="41">
        <v>29</v>
      </c>
      <c r="L4" s="317">
        <v>62</v>
      </c>
      <c r="M4" s="102">
        <v>0.63</v>
      </c>
      <c r="N4" s="102">
        <v>0.42</v>
      </c>
      <c r="O4" s="317" t="s">
        <v>141</v>
      </c>
      <c r="P4" s="317">
        <v>12</v>
      </c>
      <c r="Q4" s="317" t="s">
        <v>1159</v>
      </c>
      <c r="R4" s="317">
        <v>60</v>
      </c>
      <c r="S4" s="317" t="s">
        <v>1771</v>
      </c>
      <c r="T4" s="41" t="s">
        <v>1772</v>
      </c>
      <c r="U4" s="317" t="s">
        <v>141</v>
      </c>
      <c r="V4" s="41" t="s">
        <v>1773</v>
      </c>
      <c r="W4" s="317" t="s">
        <v>1774</v>
      </c>
      <c r="X4" s="317" t="s">
        <v>141</v>
      </c>
      <c r="Y4" s="41" t="s">
        <v>1775</v>
      </c>
      <c r="Z4" s="317" t="s">
        <v>1776</v>
      </c>
      <c r="AA4" s="317" t="s">
        <v>141</v>
      </c>
      <c r="AB4" s="46" t="s">
        <v>1777</v>
      </c>
      <c r="AC4" s="317" t="s">
        <v>1778</v>
      </c>
      <c r="AD4" s="317" t="s">
        <v>141</v>
      </c>
      <c r="AE4" s="41" t="s">
        <v>1779</v>
      </c>
      <c r="AF4" s="317" t="s">
        <v>1780</v>
      </c>
      <c r="AG4" s="317" t="s">
        <v>1781</v>
      </c>
      <c r="AH4" s="317" t="s">
        <v>1781</v>
      </c>
      <c r="AI4" s="317" t="s">
        <v>1781</v>
      </c>
      <c r="AJ4" s="320">
        <v>126590</v>
      </c>
      <c r="AK4" s="320">
        <v>126590</v>
      </c>
      <c r="AL4" s="320">
        <v>126590</v>
      </c>
      <c r="AM4" s="319">
        <f t="shared" si="0"/>
        <v>7.3283901064707386</v>
      </c>
      <c r="AN4" s="319">
        <f t="shared" si="1"/>
        <v>7.3283901064707386</v>
      </c>
      <c r="AO4" s="319">
        <f t="shared" si="2"/>
        <v>7.3283901064707386</v>
      </c>
      <c r="AP4" s="317" t="s">
        <v>141</v>
      </c>
      <c r="AQ4" s="317" t="s">
        <v>1782</v>
      </c>
      <c r="AR4" s="317" t="s">
        <v>138</v>
      </c>
      <c r="AS4" s="317">
        <v>104.9</v>
      </c>
      <c r="AT4" s="99">
        <v>50422</v>
      </c>
      <c r="AU4" s="46">
        <v>15</v>
      </c>
      <c r="AV4" s="73">
        <v>3</v>
      </c>
      <c r="AW4" s="46">
        <v>14</v>
      </c>
      <c r="AX4" s="321">
        <v>0.94</v>
      </c>
      <c r="AY4" s="320">
        <v>166442</v>
      </c>
      <c r="AZ4" s="320">
        <v>40845</v>
      </c>
      <c r="BA4" s="315">
        <f t="shared" si="3"/>
        <v>-5.9713465753734207E-2</v>
      </c>
      <c r="BB4" s="26">
        <f t="shared" si="4"/>
        <v>-5.9713465753734207E-2</v>
      </c>
      <c r="BC4" s="404">
        <f t="shared" si="5"/>
        <v>-5.9713465753734207E-2</v>
      </c>
      <c r="BD4" s="404" t="s">
        <v>1151</v>
      </c>
      <c r="BE4" s="404" t="s">
        <v>1151</v>
      </c>
      <c r="BF4" s="404" t="s">
        <v>1151</v>
      </c>
      <c r="BG4" s="404">
        <v>135374</v>
      </c>
      <c r="BH4" s="404">
        <v>135374</v>
      </c>
      <c r="BI4" s="404">
        <v>135374</v>
      </c>
      <c r="BJ4" s="404" t="s">
        <v>1783</v>
      </c>
      <c r="BK4" s="404" t="s">
        <v>1075</v>
      </c>
    </row>
    <row r="5" spans="1:63" ht="15" customHeight="1">
      <c r="A5" s="314" t="s">
        <v>1153</v>
      </c>
      <c r="B5" s="317" t="s">
        <v>1154</v>
      </c>
      <c r="C5" s="317" t="s">
        <v>1784</v>
      </c>
      <c r="D5" s="46" t="s">
        <v>1785</v>
      </c>
      <c r="E5" s="317" t="s">
        <v>1157</v>
      </c>
      <c r="F5" s="317" t="s">
        <v>679</v>
      </c>
      <c r="G5" s="41" t="s">
        <v>1786</v>
      </c>
      <c r="H5" s="41" t="s">
        <v>1787</v>
      </c>
      <c r="I5" s="41" t="s">
        <v>1788</v>
      </c>
      <c r="J5" s="41">
        <v>68</v>
      </c>
      <c r="K5" s="41">
        <v>29</v>
      </c>
      <c r="L5" s="41">
        <v>63</v>
      </c>
      <c r="M5" s="102">
        <v>0.65</v>
      </c>
      <c r="N5" s="102">
        <v>0.4</v>
      </c>
      <c r="O5" s="317" t="s">
        <v>141</v>
      </c>
      <c r="P5" s="317">
        <v>12</v>
      </c>
      <c r="Q5" s="317" t="s">
        <v>1159</v>
      </c>
      <c r="R5" s="317">
        <v>52</v>
      </c>
      <c r="S5" s="317" t="s">
        <v>1789</v>
      </c>
      <c r="T5" s="41" t="s">
        <v>1790</v>
      </c>
      <c r="U5" s="317" t="s">
        <v>141</v>
      </c>
      <c r="V5" s="41" t="s">
        <v>1791</v>
      </c>
      <c r="W5" s="317" t="s">
        <v>1792</v>
      </c>
      <c r="X5" s="317" t="s">
        <v>141</v>
      </c>
      <c r="Y5" s="41" t="s">
        <v>1793</v>
      </c>
      <c r="Z5" s="317" t="s">
        <v>1794</v>
      </c>
      <c r="AA5" s="317" t="s">
        <v>141</v>
      </c>
      <c r="AB5" s="41" t="s">
        <v>1795</v>
      </c>
      <c r="AC5" s="317" t="s">
        <v>1796</v>
      </c>
      <c r="AD5" s="317" t="s">
        <v>141</v>
      </c>
      <c r="AE5" s="41" t="s">
        <v>1797</v>
      </c>
      <c r="AF5" s="317" t="s">
        <v>1798</v>
      </c>
      <c r="AG5" s="317" t="s">
        <v>1799</v>
      </c>
      <c r="AH5" s="317" t="s">
        <v>1799</v>
      </c>
      <c r="AI5" s="317" t="s">
        <v>1799</v>
      </c>
      <c r="AJ5" s="320">
        <v>126870</v>
      </c>
      <c r="AK5" s="320">
        <v>126870</v>
      </c>
      <c r="AL5" s="320">
        <v>126870</v>
      </c>
      <c r="AM5" s="319">
        <f t="shared" si="0"/>
        <v>7.649721885850095</v>
      </c>
      <c r="AN5" s="319">
        <f t="shared" si="1"/>
        <v>7.649721885850095</v>
      </c>
      <c r="AO5" s="319">
        <f t="shared" si="2"/>
        <v>7.649721885850095</v>
      </c>
      <c r="AP5" s="317" t="s">
        <v>141</v>
      </c>
      <c r="AQ5" s="317" t="s">
        <v>141</v>
      </c>
      <c r="AR5" s="317" t="s">
        <v>141</v>
      </c>
      <c r="AS5" s="317" t="s">
        <v>138</v>
      </c>
      <c r="AT5" s="148">
        <v>113107</v>
      </c>
      <c r="AU5" s="46">
        <v>6</v>
      </c>
      <c r="AV5" s="73">
        <v>16</v>
      </c>
      <c r="AW5" s="46">
        <v>11</v>
      </c>
      <c r="AX5" s="317" t="s">
        <v>1800</v>
      </c>
      <c r="AY5" s="320">
        <v>159833</v>
      </c>
      <c r="AZ5" s="320">
        <v>39186</v>
      </c>
      <c r="BA5" s="315">
        <f t="shared" si="3"/>
        <v>-0.3339653383449247</v>
      </c>
      <c r="BB5" s="26">
        <f t="shared" si="4"/>
        <v>-0.3339653383449247</v>
      </c>
      <c r="BC5" s="404">
        <f t="shared" si="5"/>
        <v>-0.3339653383449247</v>
      </c>
      <c r="BD5" s="404" t="s">
        <v>1151</v>
      </c>
      <c r="BE5" s="404" t="s">
        <v>1151</v>
      </c>
      <c r="BF5" s="404" t="s">
        <v>1151</v>
      </c>
      <c r="BG5" s="404">
        <v>121260</v>
      </c>
      <c r="BH5" s="404">
        <v>121260</v>
      </c>
      <c r="BI5" s="404">
        <v>121260</v>
      </c>
      <c r="BJ5" s="404" t="s">
        <v>1801</v>
      </c>
      <c r="BK5" s="404" t="s">
        <v>1075</v>
      </c>
    </row>
    <row r="6" spans="1:63" ht="15" customHeight="1">
      <c r="A6" s="314" t="s">
        <v>1153</v>
      </c>
      <c r="B6" s="317" t="s">
        <v>1154</v>
      </c>
      <c r="C6" s="317" t="s">
        <v>1802</v>
      </c>
      <c r="D6" s="46" t="s">
        <v>1803</v>
      </c>
      <c r="E6" s="317" t="s">
        <v>1157</v>
      </c>
      <c r="F6" s="317" t="s">
        <v>679</v>
      </c>
      <c r="G6" s="41">
        <v>733</v>
      </c>
      <c r="H6" s="41" t="s">
        <v>1804</v>
      </c>
      <c r="I6" s="41">
        <v>3.64</v>
      </c>
      <c r="J6" s="163" t="s">
        <v>138</v>
      </c>
      <c r="K6" s="41">
        <v>29</v>
      </c>
      <c r="L6" s="41">
        <v>21</v>
      </c>
      <c r="M6" s="102">
        <v>0.25</v>
      </c>
      <c r="N6" s="102">
        <v>0.8</v>
      </c>
      <c r="O6" s="317" t="s">
        <v>141</v>
      </c>
      <c r="P6" s="317">
        <v>12</v>
      </c>
      <c r="Q6" s="317" t="s">
        <v>1159</v>
      </c>
      <c r="R6" s="317">
        <v>51</v>
      </c>
      <c r="S6" s="317" t="s">
        <v>1805</v>
      </c>
      <c r="T6" s="41" t="s">
        <v>1806</v>
      </c>
      <c r="U6" s="317" t="s">
        <v>141</v>
      </c>
      <c r="V6" s="41" t="s">
        <v>1807</v>
      </c>
      <c r="W6" s="317" t="s">
        <v>1808</v>
      </c>
      <c r="X6" s="317" t="s">
        <v>141</v>
      </c>
      <c r="Y6" s="41" t="s">
        <v>1809</v>
      </c>
      <c r="Z6" s="317" t="s">
        <v>1810</v>
      </c>
      <c r="AA6" s="317" t="s">
        <v>141</v>
      </c>
      <c r="AB6" s="46" t="s">
        <v>1811</v>
      </c>
      <c r="AC6" s="317" t="s">
        <v>1812</v>
      </c>
      <c r="AD6" s="317" t="s">
        <v>141</v>
      </c>
      <c r="AE6" s="41" t="s">
        <v>1809</v>
      </c>
      <c r="AF6" s="317" t="s">
        <v>1813</v>
      </c>
      <c r="AG6" s="99">
        <v>2378</v>
      </c>
      <c r="AH6" s="99">
        <f>AK6/R6</f>
        <v>2377.6470588235293</v>
      </c>
      <c r="AI6" s="99">
        <f>AL6/R6</f>
        <v>2377.6470588235293</v>
      </c>
      <c r="AJ6" s="320">
        <v>121260</v>
      </c>
      <c r="AK6" s="320">
        <v>121260</v>
      </c>
      <c r="AL6" s="320">
        <v>121260</v>
      </c>
      <c r="AM6" s="319" t="s">
        <v>138</v>
      </c>
      <c r="AN6" s="319" t="s">
        <v>138</v>
      </c>
      <c r="AO6" s="319" t="s">
        <v>138</v>
      </c>
      <c r="AP6" s="317" t="s">
        <v>141</v>
      </c>
      <c r="AR6" s="320"/>
      <c r="AT6" s="148">
        <v>113107</v>
      </c>
      <c r="AU6" s="46">
        <v>6</v>
      </c>
      <c r="AV6" s="73">
        <v>16</v>
      </c>
      <c r="AW6" s="46">
        <v>11</v>
      </c>
      <c r="AX6" s="317" t="s">
        <v>138</v>
      </c>
      <c r="AY6" s="317" t="s">
        <v>138</v>
      </c>
      <c r="AZ6" s="317" t="s">
        <v>138</v>
      </c>
      <c r="BA6" s="315" t="s">
        <v>138</v>
      </c>
      <c r="BB6" s="26" t="s">
        <v>138</v>
      </c>
      <c r="BC6" s="404" t="s">
        <v>138</v>
      </c>
      <c r="BD6" s="404" t="s">
        <v>1151</v>
      </c>
      <c r="BE6" s="404" t="s">
        <v>1151</v>
      </c>
      <c r="BF6" s="404" t="s">
        <v>1151</v>
      </c>
      <c r="BG6" s="404">
        <v>121260</v>
      </c>
      <c r="BH6" s="404">
        <v>121260</v>
      </c>
      <c r="BI6" s="404">
        <v>121260</v>
      </c>
      <c r="BJ6" s="404" t="s">
        <v>1814</v>
      </c>
      <c r="BK6" s="404" t="s">
        <v>1375</v>
      </c>
    </row>
    <row r="7" spans="1:63" ht="15" customHeight="1">
      <c r="A7" s="314" t="s">
        <v>1153</v>
      </c>
      <c r="B7" s="317" t="s">
        <v>1154</v>
      </c>
      <c r="C7" s="317" t="s">
        <v>1815</v>
      </c>
      <c r="D7" s="46" t="s">
        <v>1816</v>
      </c>
      <c r="E7" s="317" t="s">
        <v>1817</v>
      </c>
      <c r="F7" s="317" t="s">
        <v>1818</v>
      </c>
      <c r="G7" s="317" t="s">
        <v>1819</v>
      </c>
      <c r="H7" s="317" t="s">
        <v>1819</v>
      </c>
      <c r="I7" s="317" t="s">
        <v>1819</v>
      </c>
      <c r="J7" s="317">
        <v>84</v>
      </c>
      <c r="K7" s="317">
        <v>31</v>
      </c>
      <c r="L7" s="317">
        <v>45</v>
      </c>
      <c r="M7" s="321">
        <v>0.96</v>
      </c>
      <c r="N7" s="321">
        <v>0.4</v>
      </c>
      <c r="O7" s="317" t="s">
        <v>141</v>
      </c>
      <c r="P7" s="317">
        <v>12</v>
      </c>
      <c r="Q7" s="317" t="s">
        <v>1820</v>
      </c>
      <c r="R7" s="317">
        <v>54</v>
      </c>
      <c r="S7" s="317" t="s">
        <v>1821</v>
      </c>
      <c r="T7" s="46" t="s">
        <v>1822</v>
      </c>
      <c r="U7" s="317" t="s">
        <v>141</v>
      </c>
      <c r="V7" s="46" t="s">
        <v>1823</v>
      </c>
      <c r="W7" s="317" t="s">
        <v>1824</v>
      </c>
      <c r="X7" s="317" t="s">
        <v>141</v>
      </c>
      <c r="Y7" s="46" t="s">
        <v>1825</v>
      </c>
      <c r="Z7" s="317" t="s">
        <v>1826</v>
      </c>
      <c r="AA7" s="317" t="s">
        <v>141</v>
      </c>
      <c r="AB7" s="46" t="s">
        <v>1827</v>
      </c>
      <c r="AC7" s="317" t="s">
        <v>1828</v>
      </c>
      <c r="AD7" s="317" t="s">
        <v>141</v>
      </c>
      <c r="AE7" s="46" t="s">
        <v>1829</v>
      </c>
      <c r="AF7" s="317" t="s">
        <v>1830</v>
      </c>
      <c r="AG7" s="320">
        <v>2379</v>
      </c>
      <c r="AH7" s="320">
        <v>2379</v>
      </c>
      <c r="AI7" s="320">
        <v>2379</v>
      </c>
      <c r="AJ7" s="320">
        <v>128480</v>
      </c>
      <c r="AK7" s="320">
        <v>128480</v>
      </c>
      <c r="AL7" s="320">
        <v>128480</v>
      </c>
      <c r="AM7" s="319" t="s">
        <v>138</v>
      </c>
      <c r="AN7" s="319" t="s">
        <v>138</v>
      </c>
      <c r="AO7" s="319" t="s">
        <v>138</v>
      </c>
      <c r="AP7" s="317" t="s">
        <v>141</v>
      </c>
      <c r="AQ7" s="317" t="s">
        <v>1819</v>
      </c>
      <c r="AR7" s="317" t="s">
        <v>138</v>
      </c>
      <c r="AS7" s="317" t="s">
        <v>138</v>
      </c>
      <c r="AT7" s="148">
        <v>113107</v>
      </c>
      <c r="AU7" s="46">
        <v>6</v>
      </c>
      <c r="AV7" s="73">
        <v>16</v>
      </c>
      <c r="AW7" s="46">
        <v>11</v>
      </c>
      <c r="AX7" s="317" t="s">
        <v>138</v>
      </c>
      <c r="AY7" s="317" t="s">
        <v>138</v>
      </c>
      <c r="AZ7" s="286" t="s">
        <v>138</v>
      </c>
      <c r="BA7" s="315" t="s">
        <v>138</v>
      </c>
      <c r="BB7" s="26" t="s">
        <v>138</v>
      </c>
      <c r="BC7" s="404" t="s">
        <v>138</v>
      </c>
      <c r="BD7" s="404">
        <v>2141.44</v>
      </c>
      <c r="BE7" s="404">
        <v>2141.44</v>
      </c>
      <c r="BF7" s="404">
        <v>2141.44</v>
      </c>
      <c r="BG7" s="404">
        <v>115638</v>
      </c>
      <c r="BH7" s="404">
        <v>115638</v>
      </c>
      <c r="BI7" s="404">
        <v>115638</v>
      </c>
      <c r="BJ7" s="404" t="s">
        <v>1831</v>
      </c>
      <c r="BK7" s="404" t="s">
        <v>1075</v>
      </c>
    </row>
    <row r="8" spans="1:63" ht="15" customHeight="1">
      <c r="A8" s="314" t="s">
        <v>1832</v>
      </c>
      <c r="B8" s="317" t="s">
        <v>1833</v>
      </c>
      <c r="C8" s="317" t="s">
        <v>1834</v>
      </c>
      <c r="D8" s="46" t="s">
        <v>1835</v>
      </c>
      <c r="E8" s="317" t="s">
        <v>1836</v>
      </c>
      <c r="F8" s="317" t="s">
        <v>655</v>
      </c>
      <c r="G8" s="79">
        <v>688</v>
      </c>
      <c r="H8" s="79">
        <v>316</v>
      </c>
      <c r="I8" s="79">
        <v>3.56</v>
      </c>
      <c r="J8" s="79">
        <v>62</v>
      </c>
      <c r="K8" s="79">
        <v>28</v>
      </c>
      <c r="L8" s="79">
        <v>28</v>
      </c>
      <c r="M8" s="338">
        <v>7.0000000000000007E-2</v>
      </c>
      <c r="N8" s="338">
        <v>0.43</v>
      </c>
      <c r="O8" s="79" t="s">
        <v>141</v>
      </c>
      <c r="P8" s="79">
        <v>12</v>
      </c>
      <c r="Q8" s="79" t="s">
        <v>1711</v>
      </c>
      <c r="R8" s="79">
        <v>48</v>
      </c>
      <c r="S8" s="79" t="s">
        <v>1837</v>
      </c>
      <c r="T8" s="46" t="s">
        <v>1838</v>
      </c>
      <c r="U8" s="79" t="s">
        <v>141</v>
      </c>
      <c r="V8" s="46" t="s">
        <v>1839</v>
      </c>
      <c r="W8" s="79" t="s">
        <v>1840</v>
      </c>
      <c r="X8" s="79" t="s">
        <v>141</v>
      </c>
      <c r="Y8" s="46" t="s">
        <v>1841</v>
      </c>
      <c r="Z8" s="79" t="s">
        <v>1842</v>
      </c>
      <c r="AA8" s="79" t="s">
        <v>141</v>
      </c>
      <c r="AB8" s="46" t="s">
        <v>1843</v>
      </c>
      <c r="AC8" s="79" t="s">
        <v>1844</v>
      </c>
      <c r="AD8" s="79" t="s">
        <v>141</v>
      </c>
      <c r="AE8" s="46" t="s">
        <v>1845</v>
      </c>
      <c r="AF8" s="79" t="s">
        <v>1846</v>
      </c>
      <c r="AG8" s="99">
        <f>AJ8/R8</f>
        <v>817.39583333333337</v>
      </c>
      <c r="AH8" s="99">
        <f>AK8/R8</f>
        <v>1236.1458333333333</v>
      </c>
      <c r="AI8" s="99">
        <f>AL8/R8</f>
        <v>1236.1458333333333</v>
      </c>
      <c r="AJ8" s="42">
        <v>39235</v>
      </c>
      <c r="AK8" s="42">
        <v>59335</v>
      </c>
      <c r="AL8" s="99">
        <v>59335</v>
      </c>
      <c r="AM8" s="319">
        <f t="shared" si="0"/>
        <v>3.7038027659340145</v>
      </c>
      <c r="AN8" s="319">
        <f t="shared" si="1"/>
        <v>5.6012523796787237</v>
      </c>
      <c r="AO8" s="319">
        <f t="shared" si="2"/>
        <v>5.6012523796787237</v>
      </c>
      <c r="AP8" s="79" t="s">
        <v>141</v>
      </c>
      <c r="AQ8" s="79" t="s">
        <v>1847</v>
      </c>
      <c r="AR8" s="79" t="s">
        <v>1848</v>
      </c>
      <c r="AS8" s="46" t="s">
        <v>138</v>
      </c>
      <c r="AT8" s="339">
        <v>49445</v>
      </c>
      <c r="AU8" s="42" t="s">
        <v>138</v>
      </c>
      <c r="AV8" s="73">
        <v>15</v>
      </c>
      <c r="AW8" s="46">
        <v>24</v>
      </c>
      <c r="AX8" s="79" t="s">
        <v>1849</v>
      </c>
      <c r="AY8" s="99">
        <v>127118</v>
      </c>
      <c r="AZ8" s="317" t="s">
        <v>138</v>
      </c>
      <c r="BA8" s="315">
        <f t="shared" si="3"/>
        <v>0.43344609833107806</v>
      </c>
      <c r="BB8" s="26">
        <f t="shared" si="4"/>
        <v>0.16857878286449715</v>
      </c>
      <c r="BC8" s="404">
        <f t="shared" si="5"/>
        <v>0.16857878286449715</v>
      </c>
      <c r="BD8" s="404" t="s">
        <v>1151</v>
      </c>
      <c r="BE8" s="404" t="s">
        <v>1151</v>
      </c>
      <c r="BF8" s="404" t="s">
        <v>1151</v>
      </c>
      <c r="BG8" s="404">
        <v>26473</v>
      </c>
      <c r="BH8" s="404">
        <v>61260</v>
      </c>
      <c r="BI8" s="404">
        <v>61260</v>
      </c>
      <c r="BJ8" s="404" t="s">
        <v>1850</v>
      </c>
      <c r="BK8" s="404" t="s">
        <v>1075</v>
      </c>
    </row>
    <row r="9" spans="1:63" ht="15" customHeight="1">
      <c r="A9" s="314" t="s">
        <v>1851</v>
      </c>
      <c r="B9" s="317" t="s">
        <v>1852</v>
      </c>
      <c r="C9" s="317" t="s">
        <v>1853</v>
      </c>
      <c r="D9" s="46" t="s">
        <v>1854</v>
      </c>
      <c r="E9" s="317" t="s">
        <v>760</v>
      </c>
      <c r="F9" s="317" t="s">
        <v>170</v>
      </c>
      <c r="G9" s="317">
        <v>620</v>
      </c>
      <c r="H9" s="317">
        <v>312</v>
      </c>
      <c r="I9" s="317">
        <v>3.41</v>
      </c>
      <c r="J9" s="317">
        <v>54</v>
      </c>
      <c r="K9" s="317">
        <v>28</v>
      </c>
      <c r="L9" s="317">
        <v>49</v>
      </c>
      <c r="M9" s="321">
        <v>0.41</v>
      </c>
      <c r="N9" s="321">
        <v>0.28999999999999998</v>
      </c>
      <c r="O9" s="317" t="s">
        <v>141</v>
      </c>
      <c r="P9" s="317">
        <v>12</v>
      </c>
      <c r="Q9" s="317" t="s">
        <v>990</v>
      </c>
      <c r="R9" s="317">
        <v>51</v>
      </c>
      <c r="S9" s="317" t="s">
        <v>1855</v>
      </c>
      <c r="T9" s="46" t="s">
        <v>1856</v>
      </c>
      <c r="U9" s="317" t="s">
        <v>141</v>
      </c>
      <c r="V9" s="46" t="s">
        <v>1857</v>
      </c>
      <c r="W9" s="317" t="s">
        <v>1858</v>
      </c>
      <c r="X9" s="317" t="s">
        <v>141</v>
      </c>
      <c r="Y9" s="46" t="s">
        <v>1859</v>
      </c>
      <c r="Z9" s="317" t="s">
        <v>1860</v>
      </c>
      <c r="AA9" s="317" t="s">
        <v>141</v>
      </c>
      <c r="AB9" s="46" t="s">
        <v>1861</v>
      </c>
      <c r="AC9" s="317" t="s">
        <v>1862</v>
      </c>
      <c r="AD9" s="317" t="s">
        <v>141</v>
      </c>
      <c r="AE9" s="46" t="s">
        <v>1863</v>
      </c>
      <c r="AF9" s="317" t="s">
        <v>1864</v>
      </c>
      <c r="AG9" s="320">
        <v>1263</v>
      </c>
      <c r="AH9" s="320">
        <v>2098</v>
      </c>
      <c r="AI9" s="320">
        <v>2098</v>
      </c>
      <c r="AJ9" s="105">
        <v>52287</v>
      </c>
      <c r="AK9" s="105">
        <v>92103</v>
      </c>
      <c r="AL9" s="320">
        <v>106998</v>
      </c>
      <c r="AM9" s="319">
        <f t="shared" si="0"/>
        <v>4.3657389368215975</v>
      </c>
      <c r="AN9" s="319">
        <f t="shared" si="1"/>
        <v>7.6902031728360702</v>
      </c>
      <c r="AO9" s="319">
        <f t="shared" si="2"/>
        <v>8.9338714166434734</v>
      </c>
      <c r="AP9" s="317" t="s">
        <v>141</v>
      </c>
      <c r="AQ9" s="317" t="s">
        <v>355</v>
      </c>
      <c r="AR9" s="317" t="s">
        <v>138</v>
      </c>
      <c r="AS9" s="317" t="s">
        <v>138</v>
      </c>
      <c r="AT9" s="320">
        <v>48028</v>
      </c>
      <c r="AU9" s="317" t="s">
        <v>138</v>
      </c>
      <c r="AV9" s="85" t="s">
        <v>138</v>
      </c>
      <c r="AW9" s="46">
        <v>53</v>
      </c>
      <c r="AX9" s="317" t="s">
        <v>1865</v>
      </c>
      <c r="AY9" s="320">
        <v>119740</v>
      </c>
      <c r="AZ9" s="320">
        <v>23980</v>
      </c>
      <c r="BA9" s="315">
        <f t="shared" si="3"/>
        <v>0.19364003389323631</v>
      </c>
      <c r="BB9" s="26">
        <f t="shared" si="4"/>
        <v>-0.14551384062056219</v>
      </c>
      <c r="BC9" s="404">
        <f t="shared" si="5"/>
        <v>-0.22761343258550179</v>
      </c>
      <c r="BD9" s="404">
        <v>1699</v>
      </c>
      <c r="BE9" s="404">
        <v>2994</v>
      </c>
      <c r="BF9" s="404">
        <v>2994</v>
      </c>
      <c r="BG9" s="404">
        <v>43044</v>
      </c>
      <c r="BH9" s="404">
        <v>76062</v>
      </c>
      <c r="BI9" s="404">
        <v>76062</v>
      </c>
      <c r="BJ9" s="404" t="s">
        <v>1866</v>
      </c>
      <c r="BK9" s="404" t="s">
        <v>1170</v>
      </c>
    </row>
    <row r="10" spans="1:63" ht="15" customHeight="1">
      <c r="A10" s="314" t="s">
        <v>570</v>
      </c>
      <c r="B10" s="317" t="s">
        <v>571</v>
      </c>
      <c r="C10" s="317" t="s">
        <v>1739</v>
      </c>
      <c r="D10" s="46" t="s">
        <v>1867</v>
      </c>
      <c r="E10" s="317" t="s">
        <v>417</v>
      </c>
      <c r="F10" s="317" t="s">
        <v>170</v>
      </c>
      <c r="G10" s="317">
        <v>672</v>
      </c>
      <c r="H10" s="317" t="s">
        <v>1868</v>
      </c>
      <c r="I10" s="317">
        <v>3.43</v>
      </c>
      <c r="J10" s="317">
        <v>67</v>
      </c>
      <c r="K10" s="317">
        <v>29</v>
      </c>
      <c r="L10" s="317" t="s">
        <v>1869</v>
      </c>
      <c r="M10" s="321">
        <v>0.44</v>
      </c>
      <c r="N10" s="321">
        <v>0.31</v>
      </c>
      <c r="O10" s="317" t="s">
        <v>141</v>
      </c>
      <c r="P10" s="317">
        <v>12</v>
      </c>
      <c r="Q10" s="317" t="s">
        <v>990</v>
      </c>
      <c r="R10" s="317">
        <v>45</v>
      </c>
      <c r="S10" s="317" t="s">
        <v>1870</v>
      </c>
      <c r="T10" s="317" t="s">
        <v>1871</v>
      </c>
      <c r="U10" s="317" t="s">
        <v>141</v>
      </c>
      <c r="V10" s="46" t="s">
        <v>1872</v>
      </c>
      <c r="W10" s="317" t="s">
        <v>1873</v>
      </c>
      <c r="X10" s="317" t="s">
        <v>141</v>
      </c>
      <c r="Y10" s="46" t="s">
        <v>1874</v>
      </c>
      <c r="Z10" s="317" t="s">
        <v>1875</v>
      </c>
      <c r="AA10" s="317" t="s">
        <v>141</v>
      </c>
      <c r="AB10" s="46" t="s">
        <v>1876</v>
      </c>
      <c r="AC10" s="317" t="s">
        <v>1877</v>
      </c>
      <c r="AD10" s="317" t="s">
        <v>141</v>
      </c>
      <c r="AE10" s="46" t="s">
        <v>1878</v>
      </c>
      <c r="AF10" s="317" t="s">
        <v>1879</v>
      </c>
      <c r="AG10" s="320">
        <v>1200</v>
      </c>
      <c r="AH10" s="322">
        <v>1971.22</v>
      </c>
      <c r="AI10" s="322">
        <v>1971.22</v>
      </c>
      <c r="AJ10" s="105">
        <v>34960</v>
      </c>
      <c r="AK10" s="105">
        <v>55460</v>
      </c>
      <c r="AL10" s="320">
        <v>88705</v>
      </c>
      <c r="AM10" s="319">
        <f t="shared" si="0"/>
        <v>2.8798352496996742</v>
      </c>
      <c r="AN10" s="319">
        <f t="shared" si="1"/>
        <v>4.5685258280418743</v>
      </c>
      <c r="AO10" s="319">
        <f t="shared" si="2"/>
        <v>7.3070876952119441</v>
      </c>
      <c r="AP10" s="317" t="s">
        <v>141</v>
      </c>
      <c r="AQ10" s="317" t="s">
        <v>141</v>
      </c>
      <c r="AR10" s="317" t="s">
        <v>141</v>
      </c>
      <c r="AS10" s="317" t="s">
        <v>138</v>
      </c>
      <c r="AT10" s="320" t="s">
        <v>138</v>
      </c>
      <c r="AU10" s="317" t="s">
        <v>138</v>
      </c>
      <c r="AV10" s="73">
        <v>43</v>
      </c>
      <c r="AW10" s="46">
        <v>31</v>
      </c>
      <c r="AX10" s="317" t="s">
        <v>1880</v>
      </c>
      <c r="AY10" s="320">
        <v>120412</v>
      </c>
      <c r="AZ10" s="320">
        <v>25263</v>
      </c>
      <c r="BA10" s="315" t="s">
        <v>138</v>
      </c>
      <c r="BB10" s="26" t="s">
        <v>138</v>
      </c>
      <c r="BC10" s="404" t="s">
        <v>138</v>
      </c>
      <c r="BD10" s="404">
        <v>677.47</v>
      </c>
      <c r="BE10" s="404">
        <v>1102.49</v>
      </c>
      <c r="BF10" s="404">
        <v>1102.49</v>
      </c>
      <c r="BG10" s="404">
        <v>30486</v>
      </c>
      <c r="BH10" s="404">
        <v>49612</v>
      </c>
      <c r="BI10" s="404">
        <v>49612</v>
      </c>
      <c r="BJ10" s="404" t="s">
        <v>1881</v>
      </c>
      <c r="BK10" s="404" t="s">
        <v>1075</v>
      </c>
    </row>
    <row r="11" spans="1:63" ht="15" customHeight="1">
      <c r="A11" s="314" t="s">
        <v>1882</v>
      </c>
      <c r="B11" s="317" t="s">
        <v>1883</v>
      </c>
      <c r="C11" s="317" t="s">
        <v>1884</v>
      </c>
      <c r="D11" s="46" t="s">
        <v>1885</v>
      </c>
      <c r="E11" s="79" t="s">
        <v>1886</v>
      </c>
      <c r="F11" s="317" t="s">
        <v>263</v>
      </c>
      <c r="G11" s="317" t="s">
        <v>1887</v>
      </c>
      <c r="H11" s="317" t="s">
        <v>1888</v>
      </c>
      <c r="I11" s="317">
        <v>3.5</v>
      </c>
      <c r="J11" s="317">
        <v>44</v>
      </c>
      <c r="K11" s="317">
        <v>27</v>
      </c>
      <c r="L11" s="317">
        <v>45</v>
      </c>
      <c r="M11" s="321">
        <v>0.4</v>
      </c>
      <c r="N11" s="321">
        <v>0.4</v>
      </c>
      <c r="O11" s="317" t="s">
        <v>141</v>
      </c>
      <c r="P11" s="317">
        <v>12</v>
      </c>
      <c r="Q11" s="317" t="s">
        <v>990</v>
      </c>
      <c r="R11" s="317">
        <v>48</v>
      </c>
      <c r="S11" s="317" t="s">
        <v>1889</v>
      </c>
      <c r="T11" s="46" t="s">
        <v>120</v>
      </c>
      <c r="U11" s="317" t="s">
        <v>141</v>
      </c>
      <c r="V11" s="46" t="s">
        <v>308</v>
      </c>
      <c r="W11" s="317" t="s">
        <v>1890</v>
      </c>
      <c r="X11" s="317" t="s">
        <v>141</v>
      </c>
      <c r="Y11" s="46" t="s">
        <v>1891</v>
      </c>
      <c r="Z11" s="317" t="s">
        <v>1892</v>
      </c>
      <c r="AA11" s="317" t="s">
        <v>141</v>
      </c>
      <c r="AB11" s="46" t="s">
        <v>1893</v>
      </c>
      <c r="AC11" s="317" t="s">
        <v>1894</v>
      </c>
      <c r="AD11" s="317" t="s">
        <v>141</v>
      </c>
      <c r="AE11" s="46" t="s">
        <v>1764</v>
      </c>
      <c r="AF11" s="317" t="s">
        <v>1895</v>
      </c>
      <c r="AG11" s="320">
        <v>704</v>
      </c>
      <c r="AH11" s="320">
        <v>1281</v>
      </c>
      <c r="AI11" s="320">
        <v>1328</v>
      </c>
      <c r="AJ11" s="320">
        <v>33792</v>
      </c>
      <c r="AK11" s="320">
        <v>61488</v>
      </c>
      <c r="AL11" s="320">
        <v>63744</v>
      </c>
      <c r="AM11" s="319">
        <f t="shared" si="0"/>
        <v>3.6863999999999999</v>
      </c>
      <c r="AN11" s="319">
        <f t="shared" si="1"/>
        <v>6.7077818181818181</v>
      </c>
      <c r="AO11" s="319">
        <f t="shared" si="2"/>
        <v>6.9538909090909087</v>
      </c>
      <c r="AP11" s="317" t="s">
        <v>141</v>
      </c>
      <c r="AQ11" s="317" t="s">
        <v>296</v>
      </c>
      <c r="AR11" s="317" t="s">
        <v>138</v>
      </c>
      <c r="AS11" s="323" t="s">
        <v>138</v>
      </c>
      <c r="AT11" s="320">
        <v>47051</v>
      </c>
      <c r="AU11" s="317" t="s">
        <v>138</v>
      </c>
      <c r="AV11" s="85" t="s">
        <v>138</v>
      </c>
      <c r="AW11" s="46">
        <v>72</v>
      </c>
      <c r="AX11" s="321">
        <v>0.95</v>
      </c>
      <c r="AY11" s="320">
        <v>95000</v>
      </c>
      <c r="AZ11" s="320">
        <v>15000</v>
      </c>
      <c r="BA11" s="315">
        <f t="shared" si="3"/>
        <v>0.17511720247887883</v>
      </c>
      <c r="BB11" s="26">
        <f t="shared" si="4"/>
        <v>-0.12473857323174159</v>
      </c>
      <c r="BC11" s="404">
        <f t="shared" si="5"/>
        <v>-0.14256058486393791</v>
      </c>
      <c r="BD11" s="404">
        <v>1046</v>
      </c>
      <c r="BE11" s="404">
        <v>1633</v>
      </c>
      <c r="BF11" s="404">
        <v>1633</v>
      </c>
      <c r="BG11" s="404">
        <v>50208</v>
      </c>
      <c r="BH11" s="404">
        <v>78384</v>
      </c>
      <c r="BI11" s="404">
        <v>78384</v>
      </c>
      <c r="BJ11" s="404" t="s">
        <v>1896</v>
      </c>
      <c r="BK11" s="404" t="s">
        <v>1075</v>
      </c>
    </row>
    <row r="12" spans="1:63" ht="15" customHeight="1">
      <c r="A12" s="314" t="s">
        <v>456</v>
      </c>
      <c r="B12" s="317" t="s">
        <v>457</v>
      </c>
      <c r="C12" s="317" t="s">
        <v>1884</v>
      </c>
      <c r="D12" s="46" t="s">
        <v>1897</v>
      </c>
      <c r="E12" s="317" t="s">
        <v>459</v>
      </c>
      <c r="F12" s="317" t="s">
        <v>460</v>
      </c>
      <c r="G12" s="41">
        <v>620</v>
      </c>
      <c r="H12" s="41">
        <v>312</v>
      </c>
      <c r="I12" s="41">
        <v>3.42</v>
      </c>
      <c r="J12" s="41">
        <v>54</v>
      </c>
      <c r="K12" s="41">
        <v>28</v>
      </c>
      <c r="L12" s="41" t="s">
        <v>1898</v>
      </c>
      <c r="M12" s="321">
        <v>0.1</v>
      </c>
      <c r="N12" s="102">
        <v>0.4</v>
      </c>
      <c r="O12" s="317" t="s">
        <v>141</v>
      </c>
      <c r="P12" s="317">
        <v>11</v>
      </c>
      <c r="Q12" s="317" t="s">
        <v>990</v>
      </c>
      <c r="R12" s="317">
        <v>45</v>
      </c>
      <c r="S12" s="317" t="s">
        <v>1899</v>
      </c>
      <c r="T12" s="41" t="s">
        <v>1900</v>
      </c>
      <c r="U12" s="317" t="s">
        <v>237</v>
      </c>
      <c r="V12" s="41" t="s">
        <v>1901</v>
      </c>
      <c r="W12" s="317" t="s">
        <v>1902</v>
      </c>
      <c r="X12" s="317" t="s">
        <v>237</v>
      </c>
      <c r="Y12" s="46" t="s">
        <v>1903</v>
      </c>
      <c r="Z12" s="317" t="s">
        <v>1904</v>
      </c>
      <c r="AA12" s="317" t="s">
        <v>141</v>
      </c>
      <c r="AB12" s="46" t="s">
        <v>1905</v>
      </c>
      <c r="AC12" s="317" t="s">
        <v>1906</v>
      </c>
      <c r="AD12" s="317" t="s">
        <v>141</v>
      </c>
      <c r="AE12" s="41" t="s">
        <v>1901</v>
      </c>
      <c r="AF12" s="317" t="s">
        <v>1907</v>
      </c>
      <c r="AG12" s="320">
        <v>1617</v>
      </c>
      <c r="AH12" s="320">
        <v>1749</v>
      </c>
      <c r="AI12" s="320">
        <v>1749</v>
      </c>
      <c r="AJ12" s="320">
        <v>36382</v>
      </c>
      <c r="AK12" s="320">
        <v>48352</v>
      </c>
      <c r="AL12" s="320">
        <v>48352</v>
      </c>
      <c r="AM12" s="319">
        <f t="shared" si="0"/>
        <v>4.7215114581418236</v>
      </c>
      <c r="AN12" s="319">
        <f t="shared" si="1"/>
        <v>6.2749305157515654</v>
      </c>
      <c r="AO12" s="319">
        <f t="shared" si="2"/>
        <v>6.2749305157515654</v>
      </c>
      <c r="AP12" s="317" t="s">
        <v>141</v>
      </c>
      <c r="AQ12" s="317" t="s">
        <v>303</v>
      </c>
      <c r="AR12" s="317" t="s">
        <v>138</v>
      </c>
      <c r="AS12" s="317" t="s">
        <v>138</v>
      </c>
      <c r="AT12" s="320">
        <v>44950</v>
      </c>
      <c r="AU12" s="317" t="s">
        <v>138</v>
      </c>
      <c r="AV12" s="85" t="s">
        <v>138</v>
      </c>
      <c r="AW12" s="46">
        <v>87</v>
      </c>
      <c r="AX12" s="317" t="s">
        <v>1908</v>
      </c>
      <c r="AY12" s="320">
        <v>82467</v>
      </c>
      <c r="AZ12" s="320">
        <v>10000</v>
      </c>
      <c r="BA12" s="315">
        <f t="shared" si="3"/>
        <v>1.3955146805685339E-2</v>
      </c>
      <c r="BB12" s="26">
        <f t="shared" si="4"/>
        <v>-0.11612827163404857</v>
      </c>
      <c r="BC12" s="404">
        <f t="shared" si="5"/>
        <v>-0.11612827163404857</v>
      </c>
      <c r="BD12" s="404">
        <v>865.5</v>
      </c>
      <c r="BE12" s="404">
        <v>2109</v>
      </c>
      <c r="BF12" s="404">
        <v>2109</v>
      </c>
      <c r="BG12" s="404">
        <v>38947.5</v>
      </c>
      <c r="BH12" s="404">
        <v>94905</v>
      </c>
      <c r="BI12" s="404">
        <v>94905</v>
      </c>
      <c r="BJ12" s="404" t="s">
        <v>1909</v>
      </c>
      <c r="BK12" s="404" t="s">
        <v>1170</v>
      </c>
    </row>
    <row r="14" spans="1:63" ht="15" customHeight="1">
      <c r="A14" s="287" t="s">
        <v>1910</v>
      </c>
    </row>
    <row r="15" spans="1:63" ht="15" customHeight="1">
      <c r="A15" s="288" t="s">
        <v>1911</v>
      </c>
    </row>
    <row r="16" spans="1:63" ht="15" customHeight="1">
      <c r="AZ16" s="405" t="s">
        <v>1669</v>
      </c>
    </row>
  </sheetData>
  <hyperlinks>
    <hyperlink ref="D3" r:id="rId1" xr:uid="{A24C72DA-65E2-408B-9A2F-CA4AC9E00FF7}"/>
    <hyperlink ref="D4" r:id="rId2" xr:uid="{1BE15C0C-E876-440A-BCA0-A8EB245E54FE}"/>
    <hyperlink ref="D8" r:id="rId3" xr:uid="{ADA955A5-8224-48A2-A0E8-1B5C56DBF614}"/>
    <hyperlink ref="D10" r:id="rId4" xr:uid="{4C0C673B-457E-4841-B0E7-048033B6CFAC}"/>
    <hyperlink ref="D11" r:id="rId5" xr:uid="{2BD50457-4D8B-426B-8B6E-F8C95C64819E}"/>
    <hyperlink ref="D12" r:id="rId6" xr:uid="{1C691BA9-76F4-4AF8-B01F-32EA08A59AEB}"/>
    <hyperlink ref="D5" r:id="rId7" xr:uid="{68540B2B-97E9-4B3B-91D4-21E7D03F2400}"/>
    <hyperlink ref="D6" r:id="rId8" xr:uid="{DCF2D122-459F-42EA-A9C7-2BF405A12EE6}"/>
    <hyperlink ref="D7" r:id="rId9" xr:uid="{653571A9-A0D9-4E9C-B29A-33206881141A}"/>
    <hyperlink ref="D9" r:id="rId10" xr:uid="{AE846F47-F633-4E8C-92FF-B3FF355D60FE}"/>
    <hyperlink ref="D2" r:id="rId11" xr:uid="{B46BDFDC-7A1B-473B-BF13-0F2C8AD1979E}"/>
    <hyperlink ref="T3" r:id="rId12" xr:uid="{8589C043-EC5F-4E8D-AFCD-935F728475EF}"/>
    <hyperlink ref="V3" r:id="rId13" xr:uid="{69E7B4A7-1F3F-46A1-8D82-A663577CEC22}"/>
    <hyperlink ref="Y3" r:id="rId14" xr:uid="{6406DB0B-73E3-4F24-8329-AD3F630514AD}"/>
    <hyperlink ref="AB3" r:id="rId15" xr:uid="{B5F81C79-1055-4057-99A2-4802E7B45AAB}"/>
    <hyperlink ref="AE3" r:id="rId16" xr:uid="{71F3AB60-09EB-42C1-9B1F-80189508477B}"/>
    <hyperlink ref="T7" r:id="rId17" xr:uid="{AB6ADF48-ED15-45EB-9593-B2BE5A134120}"/>
    <hyperlink ref="V7" r:id="rId18" xr:uid="{81808475-F7F0-4047-9D78-E4CD97AF8A77}"/>
    <hyperlink ref="Y7" r:id="rId19" xr:uid="{B6801397-7818-4619-92BF-471E377D797C}"/>
    <hyperlink ref="AB7" r:id="rId20" xr:uid="{68D97F8D-4CB3-46CD-81FC-A62A767C7BE1}"/>
    <hyperlink ref="AE7" r:id="rId21" xr:uid="{F3594A50-8AE6-4EB5-A826-DF21749A48D9}"/>
    <hyperlink ref="T8" r:id="rId22" xr:uid="{155FAD99-9EF2-4195-9799-669B94C9CE4A}"/>
    <hyperlink ref="V8" r:id="rId23" xr:uid="{10B76853-6BB0-4288-A6B8-76F77D47AD41}"/>
    <hyperlink ref="Y8" r:id="rId24" xr:uid="{DDBFC1C8-9993-471E-82D6-23238C7420FF}"/>
    <hyperlink ref="AB8" r:id="rId25" xr:uid="{670F9A69-6339-4BA4-93EA-3056C15796FD}"/>
    <hyperlink ref="AE8" r:id="rId26" xr:uid="{D8B8ACBB-14C5-4BA3-AEC3-2DB091BD4A64}"/>
    <hyperlink ref="T9" r:id="rId27" xr:uid="{4CD39272-A862-42A4-AA31-058DAA8E8861}"/>
    <hyperlink ref="V9" r:id="rId28" xr:uid="{E5DBC4FD-56C7-497B-A665-4F592BB752CA}"/>
    <hyperlink ref="Y9" r:id="rId29" xr:uid="{79D75ABD-8537-4AA0-9E36-98E02690F27A}"/>
    <hyperlink ref="AB9" r:id="rId30" xr:uid="{B30CB568-A196-4DB3-9E53-25D3CFC03461}"/>
    <hyperlink ref="AE9" r:id="rId31" xr:uid="{06165581-EA83-48AC-95BD-BCAB1F8B0C9C}"/>
    <hyperlink ref="T11" r:id="rId32" xr:uid="{FD3CABF2-D1B5-458F-9E90-6326CD075401}"/>
    <hyperlink ref="V11" r:id="rId33" xr:uid="{181DE10F-9B61-4E2C-9585-7D3A6136F44A}"/>
    <hyperlink ref="Y11" r:id="rId34" xr:uid="{344DD4EA-4A87-4B3D-968E-86C6057CD94C}"/>
    <hyperlink ref="AB11" r:id="rId35" xr:uid="{CEFCD103-E00B-4A80-98DF-BBD02331C16F}"/>
    <hyperlink ref="AE11" r:id="rId36" xr:uid="{E6E0C840-CD95-49EF-AD0B-807CE51E43A8}"/>
    <hyperlink ref="AJ9:AK9" r:id="rId37" display="$92,103 " xr:uid="{9F51C24C-592E-4E35-9289-A8EA6F4F64A1}"/>
    <hyperlink ref="AJ10:AK10" r:id="rId38" display="$53,998 " xr:uid="{3E6FAEDD-D9E6-46BB-9ED6-2ECFBB5B0000}"/>
    <hyperlink ref="AJ10" r:id="rId39" display="34,960" xr:uid="{E1CB50C9-0310-4BDC-90DC-1AEB95E075D8}"/>
    <hyperlink ref="AK10" r:id="rId40" display="55,460" xr:uid="{A7921EEA-0634-4261-A694-4BCE81078F92}"/>
    <hyperlink ref="AW3" r:id="rId41" display="6" xr:uid="{55D6C00D-D2AA-4549-9949-FA3B9EB39399}"/>
    <hyperlink ref="AW4" r:id="rId42" display="14" xr:uid="{DF2B0067-289D-4A6C-8F78-9AD3C8ED1263}"/>
    <hyperlink ref="AW5" r:id="rId43" display="11" xr:uid="{40FAF7A0-C350-4D05-88D8-BB2C245309DE}"/>
    <hyperlink ref="AW6" r:id="rId44" display="11" xr:uid="{E0BEAF41-50A4-497C-883C-7EC4FBF04477}"/>
    <hyperlink ref="AW7" r:id="rId45" display="11" xr:uid="{0FF5EBA5-D536-4936-ACA2-D74C4A8423C2}"/>
    <hyperlink ref="AW8" r:id="rId46" display="24" xr:uid="{8BFEDB19-4928-41C4-94D4-808B89C58808}"/>
    <hyperlink ref="AW9" r:id="rId47" display="53" xr:uid="{B00390AC-5FC4-4F47-82E1-0DC5A4DA9A99}"/>
    <hyperlink ref="AW10" r:id="rId48" display="31" xr:uid="{79D83933-EC54-4F03-9881-62DE02F31E8E}"/>
    <hyperlink ref="AW11" r:id="rId49" display="72" xr:uid="{3909CEAE-0E49-451E-8DCD-5B3DC74D454F}"/>
    <hyperlink ref="AW12" r:id="rId50" display="87" xr:uid="{EC8D1F5D-1D33-4258-BF54-AD089DE8931A}"/>
    <hyperlink ref="AV2" r:id="rId51" display="6" xr:uid="{1702562C-58F2-433E-AFA2-B8D13ABF5DC1}"/>
    <hyperlink ref="AV3" r:id="rId52" display="10" xr:uid="{B1BBF16B-C3CB-47B1-BD95-CB8F45F3107F}"/>
    <hyperlink ref="AV4" r:id="rId53" display="3" xr:uid="{851909EA-8227-45C1-AA4A-484AAA2E9BDB}"/>
    <hyperlink ref="AV5" r:id="rId54" display="16" xr:uid="{8FE67795-1EDE-4D15-BF5A-C0E27138264F}"/>
    <hyperlink ref="AV6" r:id="rId55" display="16" xr:uid="{C7F28C03-FFEC-48C4-9586-5CC49BD92125}"/>
    <hyperlink ref="AV7" r:id="rId56" display="16" xr:uid="{474DC207-6064-4A10-8767-55197DE3D34D}"/>
    <hyperlink ref="AV8" r:id="rId57" display="15" xr:uid="{03BDF7BD-DC74-487E-8FC5-701502AF7686}"/>
    <hyperlink ref="AV10" r:id="rId58" display="43" xr:uid="{14D93458-5E6C-4031-96CF-015689EBFFDD}"/>
    <hyperlink ref="AU3" r:id="rId59" display="2" xr:uid="{34A37B5B-9B29-4BC8-BCB7-96A8541B595F}"/>
    <hyperlink ref="AU4" r:id="rId60" display="15" xr:uid="{5547F511-9C09-4E9D-8260-B697CF5923FA}"/>
    <hyperlink ref="AU5" r:id="rId61" display="6" xr:uid="{4E43802C-F8B1-43C1-A1E8-EFAC1C7E228F}"/>
    <hyperlink ref="AU6" r:id="rId62" display="6" xr:uid="{C27D41DC-C341-4BD6-A141-E8814DB53853}"/>
    <hyperlink ref="AU7" r:id="rId63" display="6" xr:uid="{FD4663E6-6D12-4C89-B159-28175EFA6C75}"/>
    <hyperlink ref="V10" r:id="rId64" xr:uid="{BE22C4C5-93F5-4F2B-98B8-E845CB049051}"/>
    <hyperlink ref="Y12" r:id="rId65" xr:uid="{1BC23D4B-E305-4377-B6E2-24226AA91D98}"/>
    <hyperlink ref="Y10" r:id="rId66" xr:uid="{A5B61550-1F0D-4EA5-8399-2B1467976CD3}"/>
    <hyperlink ref="AB4" r:id="rId67" xr:uid="{4E63A4D9-8005-401F-85EB-ECE694BFE30B}"/>
    <hyperlink ref="AB6" r:id="rId68" xr:uid="{BDBAC5FA-701B-4816-A3EA-9ABB515720F1}"/>
    <hyperlink ref="AB12" r:id="rId69" xr:uid="{24488DCE-26B7-47A1-93E3-BE27AC4CA8B8}"/>
    <hyperlink ref="AB5" r:id="rId70" xr:uid="{930659F3-74AC-40F6-857C-AA8499C47315}"/>
    <hyperlink ref="AB10" r:id="rId71" xr:uid="{59AD090E-A1D1-4880-B6AE-457C18F3DA0B}"/>
    <hyperlink ref="AE10" r:id="rId72" xr:uid="{68728309-9141-4B5E-AAB8-21F54A5F464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52586B807C5149B24CE727C7FFBA60" ma:contentTypeVersion="20" ma:contentTypeDescription="Create a new document." ma:contentTypeScope="" ma:versionID="9f13418d815be09ba76614cf0e1877ca">
  <xsd:schema xmlns:xsd="http://www.w3.org/2001/XMLSchema" xmlns:xs="http://www.w3.org/2001/XMLSchema" xmlns:p="http://schemas.microsoft.com/office/2006/metadata/properties" xmlns:ns2="8b562455-3d7a-41e1-96ab-fda623c0df2e" xmlns:ns3="ace0c94c-fa62-443f-9b0b-de45cfbddb62" targetNamespace="http://schemas.microsoft.com/office/2006/metadata/properties" ma:root="true" ma:fieldsID="ac07b3e1bbc721056413d321c5dfea3e" ns2:_="" ns3:_="">
    <xsd:import namespace="8b562455-3d7a-41e1-96ab-fda623c0df2e"/>
    <xsd:import namespace="ace0c94c-fa62-443f-9b0b-de45cfbddb6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Location" minOccurs="0"/>
                <xsd:element ref="ns3:SharedWithUsers" minOccurs="0"/>
                <xsd:element ref="ns3:SharedWithDetails" minOccurs="0"/>
                <xsd:element ref="ns2:MediaLengthInSeconds" minOccurs="0"/>
                <xsd:element ref="ns2:Note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562455-3d7a-41e1-96ab-fda623c0df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e9e90a8-b24c-4be7-8760-a88b2cd47eb1"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Notes" ma:index="24" nillable="true" ma:displayName="Notes" ma:description="From May 2022 Grad - may be done" ma:format="Dropdown" ma:internalName="Note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e0c94c-fa62-443f-9b0b-de45cfbddb6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046062c7-5d3f-4495-9c78-b7b6a14f08ab}" ma:internalName="TaxCatchAll" ma:showField="CatchAllData" ma:web="ace0c94c-fa62-443f-9b0b-de45cfbddb6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562455-3d7a-41e1-96ab-fda623c0df2e">
      <Terms xmlns="http://schemas.microsoft.com/office/infopath/2007/PartnerControls"/>
    </lcf76f155ced4ddcb4097134ff3c332f>
    <Notes xmlns="8b562455-3d7a-41e1-96ab-fda623c0df2e" xsi:nil="true"/>
    <TaxCatchAll xmlns="ace0c94c-fa62-443f-9b0b-de45cfbddb62" xsi:nil="true"/>
  </documentManagement>
</p:properties>
</file>

<file path=customXml/itemProps1.xml><?xml version="1.0" encoding="utf-8"?>
<ds:datastoreItem xmlns:ds="http://schemas.openxmlformats.org/officeDocument/2006/customXml" ds:itemID="{1E45346B-EE4F-49E2-921E-E12091D153BF}"/>
</file>

<file path=customXml/itemProps2.xml><?xml version="1.0" encoding="utf-8"?>
<ds:datastoreItem xmlns:ds="http://schemas.openxmlformats.org/officeDocument/2006/customXml" ds:itemID="{E6FFB269-A796-46C5-BAAD-9CCFD2EB0E62}"/>
</file>

<file path=customXml/itemProps3.xml><?xml version="1.0" encoding="utf-8"?>
<ds:datastoreItem xmlns:ds="http://schemas.openxmlformats.org/officeDocument/2006/customXml" ds:itemID="{B3D5B22C-B2DB-4B34-A831-ADE8BC4983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Eun Hye</dc:creator>
  <cp:keywords/>
  <dc:description/>
  <cp:lastModifiedBy/>
  <cp:revision/>
  <dcterms:created xsi:type="dcterms:W3CDTF">2024-08-30T15:43:18Z</dcterms:created>
  <dcterms:modified xsi:type="dcterms:W3CDTF">2026-09-18T18:41:48Z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0x010100EF52586B807C5149B24CE727C7FFBA60</vt:lpwstr>
  </property>
  <property fmtid="{D5CDD505-2E9C-101B-9397-08002B2CF9AE}" pid="3" name="MSIP_Label_4044bd30-2ed7-4c9d-9d12-46200872a97b_Enabled">
    <vt:lpwstr>true</vt:lpwstr>
  </property>
  <property fmtid="{D5CDD505-2E9C-101B-9397-08002B2CF9AE}" pid="4" name="MSIP_Label_4044bd30-2ed7-4c9d-9d12-46200872a97b_SetDate">
    <vt:lpwstr>2024-09-04T14:22:37Z</vt:lpwstr>
  </property>
  <property fmtid="{D5CDD505-2E9C-101B-9397-08002B2CF9AE}" pid="5" name="MSIP_Label_4044bd30-2ed7-4c9d-9d12-46200872a97b_Method">
    <vt:lpwstr>Standard</vt:lpwstr>
  </property>
  <property fmtid="{D5CDD505-2E9C-101B-9397-08002B2CF9AE}" pid="6" name="MSIP_Label_4044bd30-2ed7-4c9d-9d12-46200872a97b_Name">
    <vt:lpwstr>defa4170-0d19-0005-0004-bc88714345d2</vt:lpwstr>
  </property>
  <property fmtid="{D5CDD505-2E9C-101B-9397-08002B2CF9AE}" pid="7" name="MSIP_Label_4044bd30-2ed7-4c9d-9d12-46200872a97b_SiteId">
    <vt:lpwstr>4130bd39-7c53-419c-b1e5-8758d6d63f21</vt:lpwstr>
  </property>
  <property fmtid="{D5CDD505-2E9C-101B-9397-08002B2CF9AE}" pid="8" name="MSIP_Label_4044bd30-2ed7-4c9d-9d12-46200872a97b_ActionId">
    <vt:lpwstr>1c691cf1-b2c5-4807-8bff-40d5cde69131</vt:lpwstr>
  </property>
  <property fmtid="{D5CDD505-2E9C-101B-9397-08002B2CF9AE}" pid="9" name="MSIP_Label_4044bd30-2ed7-4c9d-9d12-46200872a97b_ContentBits">
    <vt:lpwstr>0</vt:lpwstr>
  </property>
  <property fmtid="{D5CDD505-2E9C-101B-9397-08002B2CF9AE}" pid="10" name="MediaServiceImageTags">
    <vt:lpwstr/>
  </property>
</Properties>
</file>